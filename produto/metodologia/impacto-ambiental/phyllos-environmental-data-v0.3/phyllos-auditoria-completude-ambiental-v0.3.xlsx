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tables/table7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8a2c0db95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95f4d6011a64834"/>
    <x:sheet xmlns:r="http://schemas.openxmlformats.org/officeDocument/2006/relationships" name="Registro de Amostras" sheetId="2" r:id="R7a89052939c94867"/>
    <x:sheet xmlns:r="http://schemas.openxmlformats.org/officeDocument/2006/relationships" name="Matriz de Diversidade" sheetId="3" r:id="R7b3b4e6b81434728"/>
    <x:sheet xmlns:r="http://schemas.openxmlformats.org/officeDocument/2006/relationships" name="Protocolo de Coleta" sheetId="4" r:id="R125c5d1b065e4889"/>
    <x:sheet xmlns:r="http://schemas.openxmlformats.org/officeDocument/2006/relationships" name="Checklist Evidências" sheetId="5" r:id="R8f0c9665daf34ad2"/>
    <x:sheet xmlns:r="http://schemas.openxmlformats.org/officeDocument/2006/relationships" name="Contato Fornecedores" sheetId="6" r:id="R78fb38ad1fce40c8"/>
    <x:sheet xmlns:r="http://schemas.openxmlformats.org/officeDocument/2006/relationships" name="Listas" sheetId="7" r:id="Reb92948a65f44aaf"/>
    <x:sheet xmlns:r="http://schemas.openxmlformats.org/officeDocument/2006/relationships" name="Lacunas e Leads" sheetId="8" r:id="R312c1be5b8c0427e"/>
    <x:sheet xmlns:r="http://schemas.openxmlformats.org/officeDocument/2006/relationships" name="Onda 1" sheetId="9" r:id="R8683f2b743454c43"/>
    <x:sheet xmlns:r="http://schemas.openxmlformats.org/officeDocument/2006/relationships" name="Dashboard Ambiental" sheetId="10" r:id="R844615fc9d524ead"/>
    <x:sheet xmlns:r="http://schemas.openxmlformats.org/officeDocument/2006/relationships" name="Registro Enriquecido" sheetId="11" r:id="R8259fd93446d4b66"/>
    <x:sheet xmlns:r="http://schemas.openxmlformats.org/officeDocument/2006/relationships" name="Componentes de Fibra" sheetId="12" r:id="R3d3dc8d0db264624"/>
    <x:sheet xmlns:r="http://schemas.openxmlformats.org/officeDocument/2006/relationships" name="Lacunas Ambientais" sheetId="13" r:id="R5ed2847227fc4a0a"/>
    <x:sheet xmlns:r="http://schemas.openxmlformats.org/officeDocument/2006/relationships" name="Dicionário Ambiental" sheetId="14" r:id="R00eb64d4d5f14085"/>
    <x:sheet xmlns:r="http://schemas.openxmlformats.org/officeDocument/2006/relationships" name="Backlog Agentes" sheetId="15" r:id="R8146152c61c2431f"/>
    <x:sheet xmlns:r="http://schemas.openxmlformats.org/officeDocument/2006/relationships" name="Validações Semânticas" sheetId="16" r:id="R6d7d7edf5e5f4278"/>
    <x:sheet xmlns:r="http://schemas.openxmlformats.org/officeDocument/2006/relationships" name="QA Distribuição" sheetId="17" r:id="R604278a088f840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8"/>
      <x:color rgb="FFFFFFFF"/>
      <x:name val="Aptos"/>
    </x:font>
    <x:font>
      <x:b/>
      <x:sz val="16"/>
      <x:color rgb="FFFFFFFF"/>
      <x:name val="Carlito"/>
    </x:font>
    <x:font>
      <x:b/>
      <x:sz val="11"/>
      <x:color rgb="FF183A2D"/>
      <x:name val="Carlito"/>
    </x:font>
    <x:font>
      <x:sz val="11"/>
      <x:color rgb="FF183A2D"/>
      <x:name val="Carlito"/>
    </x:font>
    <x:font>
      <x:b/>
      <x:sz val="14"/>
      <x:color rgb="FFFFFFFF"/>
      <x:name val="Carlito"/>
    </x:font>
    <x:font>
      <x:b/>
      <x:sz val="11"/>
      <x:color rgb="FF173F35"/>
      <x:name val="Carlito"/>
    </x:font>
    <x:font>
      <x:i/>
      <x:sz val="11"/>
      <x:color rgb="FF404946"/>
      <x:name val="Carlito"/>
    </x:font>
    <x:font>
      <x:b/>
      <x:sz val="11"/>
      <x:color rgb="FF1F1F1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B32"/>
      </x:patternFill>
    </x:fill>
    <x:fill>
      <x:patternFill patternType="solid">
        <x:fgColor rgb="FF173B32"/>
      </x:patternFill>
    </x:fill>
    <x:fill>
      <x:patternFill patternType="solid">
        <x:fgColor rgb="FF183A2D"/>
      </x:patternFill>
    </x:fill>
    <x:fill>
      <x:patternFill patternType="solid">
        <x:fgColor rgb="FF2F6B4F"/>
      </x:patternFill>
    </x:fill>
    <x:fill>
      <x:patternFill patternType="solid">
        <x:fgColor rgb="FFE9F1EC"/>
      </x:patternFill>
    </x:fill>
    <x:fill>
      <x:patternFill patternType="solid">
        <x:fgColor rgb="FFF6F1E7"/>
      </x:patternFill>
    </x:fill>
    <x:fill>
      <x:patternFill patternType="solid">
        <x:fgColor rgb="FF173F35"/>
      </x:patternFill>
    </x:fill>
    <x:fill>
      <x:patternFill patternType="solid">
        <x:fgColor rgb="FFDDE9E4"/>
      </x:patternFill>
    </x:fill>
    <x:fill>
      <x:patternFill patternType="solid">
        <x:fgColor rgb="FFF2F4F3"/>
      </x:patternFill>
    </x:fill>
    <x:fill>
      <x:patternFill patternType="solid">
        <x:fgColor rgb="FF1F4E3D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3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6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left"/>
    </x:xf>
    <x:xf numFmtId="0" fontId="9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left"/>
    </x:xf>
    <x:xf numFmtId="0" fontId="6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12" fillId="12" borderId="0" xfId="0" applyNumberFormat="1" applyFont="1" applyFill="1" applyBorder="1" applyAlignment="1">
      <x:alignment horizontal="center" vertical="center"/>
    </x:xf>
    <x:xf numFmtId="0" fontId="12" fillId="1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b/>
      </x:font>
      <x:fill>
        <x:patternFill>
          <x:bgColor rgb="FFEEE4CC"/>
        </x:patternFill>
      </x:fill>
    </x:dxf>
    <x:dxf>
      <x:fill>
        <x:patternFill>
          <x:bgColor rgb="FFDCE8E2"/>
        </x:patternFill>
      </x:fill>
    </x:dxf>
    <x:dxf>
      <x:font>
        <x:b/>
      </x:font>
      <x:fill>
        <x:patternFill>
          <x:bgColor rgb="FFDCE8E2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CE8E2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DCE8E2"/>
        </x:patternFill>
      </x:fill>
    </x:dxf>
    <x:dxf>
      <x:fill>
        <x:patternFill>
          <x:bgColor rgb="FFEEE4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4fbfd59234831" /><Relationship Type="http://schemas.openxmlformats.org/officeDocument/2006/relationships/theme" Target="/xl/theme/theme1.xml" Id="Rf96fdcf6bc4641d9" /><Relationship Type="http://schemas.openxmlformats.org/officeDocument/2006/relationships/sharedStrings" Target="/xl/sharedStrings.xml" Id="R18f1098a4f24436e" /><Relationship Type="http://schemas.openxmlformats.org/officeDocument/2006/relationships/worksheet" Target="/xl/worksheets/sheet1.xml" Id="R795f4d6011a64834" /><Relationship Type="http://schemas.openxmlformats.org/officeDocument/2006/relationships/worksheet" Target="/xl/worksheets/sheet2.xml" Id="R7a89052939c94867" /><Relationship Type="http://schemas.openxmlformats.org/officeDocument/2006/relationships/worksheet" Target="/xl/worksheets/sheet3.xml" Id="R7b3b4e6b81434728" /><Relationship Type="http://schemas.openxmlformats.org/officeDocument/2006/relationships/worksheet" Target="/xl/worksheets/sheet4.xml" Id="R125c5d1b065e4889" /><Relationship Type="http://schemas.openxmlformats.org/officeDocument/2006/relationships/worksheet" Target="/xl/worksheets/sheet5.xml" Id="R8f0c9665daf34ad2" /><Relationship Type="http://schemas.openxmlformats.org/officeDocument/2006/relationships/worksheet" Target="/xl/worksheets/sheet6.xml" Id="R78fb38ad1fce40c8" /><Relationship Type="http://schemas.openxmlformats.org/officeDocument/2006/relationships/worksheet" Target="/xl/worksheets/sheet7.xml" Id="Reb92948a65f44aaf" /><Relationship Type="http://schemas.openxmlformats.org/officeDocument/2006/relationships/worksheet" Target="/xl/worksheets/sheet8.xml" Id="R312c1be5b8c0427e" /><Relationship Type="http://schemas.openxmlformats.org/officeDocument/2006/relationships/worksheet" Target="/xl/worksheets/sheet9.xml" Id="R8683f2b743454c43" /><Relationship Type="http://schemas.openxmlformats.org/officeDocument/2006/relationships/worksheet" Target="/xl/worksheets/sheet10.xml" Id="R844615fc9d524ead" /><Relationship Type="http://schemas.openxmlformats.org/officeDocument/2006/relationships/worksheet" Target="/xl/worksheets/sheet11.xml" Id="R8259fd93446d4b66" /><Relationship Type="http://schemas.openxmlformats.org/officeDocument/2006/relationships/worksheet" Target="/xl/worksheets/sheet12.xml" Id="R3d3dc8d0db264624" /><Relationship Type="http://schemas.openxmlformats.org/officeDocument/2006/relationships/worksheet" Target="/xl/worksheets/sheet13.xml" Id="R5ed2847227fc4a0a" /><Relationship Type="http://schemas.openxmlformats.org/officeDocument/2006/relationships/worksheet" Target="/xl/worksheets/sheet14.xml" Id="R00eb64d4d5f14085" /><Relationship Type="http://schemas.openxmlformats.org/officeDocument/2006/relationships/worksheet" Target="/xl/worksheets/sheet15.xml" Id="R8146152c61c2431f" /><Relationship Type="http://schemas.openxmlformats.org/officeDocument/2006/relationships/worksheet" Target="/xl/worksheets/sheet16.xml" Id="R6d7d7edf5e5f4278" /><Relationship Type="http://schemas.openxmlformats.org/officeDocument/2006/relationships/worksheet" Target="/xl/worksheets/sheet17.xml" Id="R604278a088f840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016d2292d2456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4d1ab00f46348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Distribuição planejada por família estrutural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Quantidade planejada</c:v>
          </c:tx>
          <c:cat>
            <c:strRef>
              <c:f>'Matriz de Diversidade'!$A$2:$A$6</c:f>
              <c:strCache>
                <c:ptCount val="0"/>
              </c:strCache>
            </c:strRef>
          </c:cat>
          <c:val>
            <c:numRef>
              <c:f>'Matriz de Diversidade'!$B$2:$B$6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Cobertura por parâmetro (de 70)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Cobertura</c:v>
          </c:tx>
          <c:cat>
            <c:strRef>
              <c:f>'Dashboard Ambiental'!$A$17:$A$23</c:f>
              <c:strCache>
                <c:ptCount val="0"/>
              </c:strCache>
            </c:strRef>
          </c:cat>
          <c:val>
            <c:numRef>
              <c:f>'Dashboard Ambiental'!$B$17:$B$23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016d2292d2456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d1ab00f463480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mpleRegistry" displayName="SampleRegistry" ref="A1:T71" headerRowCount="1">
  <x:tableColumns count="20">
    <x:tableColumn id="1" name="ID da amostra"/>
    <x:tableColumn id="2" name="Fornecedor"/>
    <x:tableColumn id="3" name="Produto / amostra alvo"/>
    <x:tableColumn id="4" name="Família estrutural alvo"/>
    <x:tableColumn id="5" name="Construção / diversidade alvo"/>
    <x:tableColumn id="6" name="Disponibilidade documental"/>
    <x:tableColumn id="7" name="Fonte oficial"/>
    <x:tableColumn id="8" name="Prioridade"/>
    <x:tableColumn id="9" name="Geografia"/>
    <x:tableColumn id="10" name="Canal de aquisição"/>
    <x:tableColumn id="11" name="Status físico"/>
    <x:tableColumn id="12" name="Status documento"/>
    <x:tableColumn id="13" name="Status intake"/>
    <x:tableColumn id="14" name="Responsável"/>
    <x:tableColumn id="15" name="Qtd. planejada"/>
    <x:tableColumn id="16" name="Data recebimento"/>
    <x:tableColumn id="17" name="Arquivo documental"/>
    <x:tableColumn id="18" name="Hash da evidência"/>
    <x:tableColumn id="19" name="Status revisão"/>
    <x:tableColumn id="20" name="Observações"/>
  </x:tableColumns>
  <x:tableStyleInfo name="TableStyleMedium2" showRowStripes="1"/>
</x:table>
</file>

<file path=xl/tables/table2.xml><?xml version="1.0" encoding="utf-8"?>
<x:table xmlns:x="http://schemas.openxmlformats.org/spreadsheetml/2006/main" id="2" name="GraphMappingTable" displayName="GraphMappingTable" ref="U1:AD71" headerRowCount="1">
  <x:tableColumns count="10">
    <x:tableColumn id="1" name="Dimension Revision ID"/>
    <x:tableColumn id="2" name="Family Concept Revision ID"/>
    <x:tableColumn id="3" name="Construction Concept Revision IDs"/>
    <x:tableColumn id="4" name="Mapping Status"/>
    <x:tableColumn id="5" name="TextileSample Node ID"/>
    <x:tableColumn id="6" name="Evidence IDs"/>
    <x:tableColumn id="7" name="Assertion IDs"/>
    <x:tableColumn id="8" name="Review IDs"/>
    <x:tableColumn id="9" name="PublicationDecision IDs"/>
    <x:tableColumn id="10" name="Onda de solicitação"/>
  </x:tableColumns>
  <x:tableStyleInfo name="TableStyleMedium2" showRowStripes="1"/>
</x:table>
</file>

<file path=xl/tables/table3.xml><?xml version="1.0" encoding="utf-8"?>
<x:table xmlns:x="http://schemas.openxmlformats.org/spreadsheetml/2006/main" id="3" name="EnrichedSamplesTable" displayName="EnrichedSamplesTable" ref="A1:AX71" headerRowCount="1">
  <x:tableColumns count="50">
    <x:tableColumn id="1" name="ID da amostra"/>
    <x:tableColumn id="2" name="Fornecedor"/>
    <x:tableColumn id="3" name="Produto / amostra alvo"/>
    <x:tableColumn id="4" name="Família estrutural alvo"/>
    <x:tableColumn id="5" name="Construção / diversidade alvo"/>
    <x:tableColumn id="6" name="Disponibilidade documental"/>
    <x:tableColumn id="7" name="Fonte oficial"/>
    <x:tableColumn id="8" name="Prioridade"/>
    <x:tableColumn id="9" name="Geografia"/>
    <x:tableColumn id="10" name="Canal de aquisição"/>
    <x:tableColumn id="11" name="Status físico"/>
    <x:tableColumn id="12" name="Status documento"/>
    <x:tableColumn id="13" name="Status intake"/>
    <x:tableColumn id="14" name="Responsável"/>
    <x:tableColumn id="15" name="Qtd. planejada"/>
    <x:tableColumn id="16" name="Data recebimento"/>
    <x:tableColumn id="17" name="Arquivo documental"/>
    <x:tableColumn id="18" name="Hash da evidência"/>
    <x:tableColumn id="19" name="Status revisão"/>
    <x:tableColumn id="20" name="Observações"/>
    <x:tableColumn id="21" name="Dimension Revision ID"/>
    <x:tableColumn id="22" name="Family Concept Revision ID"/>
    <x:tableColumn id="23" name="Construction Concept Revision IDs"/>
    <x:tableColumn id="24" name="Mapping Status"/>
    <x:tableColumn id="25" name="TextileSample Node ID"/>
    <x:tableColumn id="26" name="Evidence IDs"/>
    <x:tableColumn id="27" name="Assertion IDs"/>
    <x:tableColumn id="28" name="Review IDs"/>
    <x:tableColumn id="29" name="PublicationDecision IDs"/>
    <x:tableColumn id="30" name="Onda de solicitação"/>
    <x:tableColumn id="31" name="construction_source_text"/>
    <x:tableColumn id="32" name="gsm_extracted"/>
    <x:tableColumn id="33" name="gsm_unit"/>
    <x:tableColumn id="34" name="composition_extraction_status"/>
    <x:tableColumn id="35" name="composition_components_json"/>
    <x:tableColumn id="36" name="composition_sum_pct"/>
    <x:tableColumn id="37" name="composition_sum_valid"/>
    <x:tableColumn id="38" name="composition_textual_mentions"/>
    <x:tableColumn id="39" name="recycled_claim"/>
    <x:tableColumn id="40" name="generic_certification_mention"/>
    <x:tableColumn id="41" name="calculability_status"/>
    <x:tableColumn id="42" name="source_quality_level"/>
    <x:tableColumn id="43" name="identity_score_20"/>
    <x:tableColumn id="44" name="textile_score_25"/>
    <x:tableColumn id="45" name="composition_physical_score_25"/>
    <x:tableColumn id="46" name="supply_chain_score_15"/>
    <x:tableColumn id="47" name="environmental_evidence_score_15"/>
    <x:tableColumn id="48" name="completeness_score_100"/>
    <x:tableColumn id="49" name="review_required"/>
    <x:tableColumn id="50" name="data_quality_notes"/>
  </x:tableColumns>
  <x:tableStyleInfo name="TableStyleMedium2" showRowStripes="1"/>
</x:table>
</file>

<file path=xl/tables/table4.xml><?xml version="1.0" encoding="utf-8"?>
<x:table xmlns:x="http://schemas.openxmlformats.org/spreadsheetml/2006/main" id="4" name="FiberComponentsTable" displayName="FiberComponentsTable" ref="A1:J28" headerRowCount="1">
  <x:tableColumns count="10">
    <x:tableColumn id="1" name="sample_id"/>
    <x:tableColumn id="2" name="supplier"/>
    <x:tableColumn id="3" name="product"/>
    <x:tableColumn id="4" name="component_order"/>
    <x:tableColumn id="5" name="fiber_type_normalized"/>
    <x:tableColumn id="6" name="percentage_extracted"/>
    <x:tableColumn id="7" name="recycled_claim"/>
    <x:tableColumn id="8" name="extraction_method"/>
    <x:tableColumn id="9" name="validation_status"/>
    <x:tableColumn id="10" name="source_text"/>
  </x:tableColumns>
  <x:tableStyleInfo name="TableStyleMedium2" showRowStripes="1"/>
</x:table>
</file>

<file path=xl/tables/table5.xml><?xml version="1.0" encoding="utf-8"?>
<x:table xmlns:x="http://schemas.openxmlformats.org/spreadsheetml/2006/main" id="5" name="EnvironmentalGapsTable" displayName="EnvironmentalGapsTable" ref="A1:G19" headerRowCount="1">
  <x:tableColumns count="7">
    <x:tableColumn id="1" name="Campo"/>
    <x:tableColumn id="2" name="Escopo"/>
    <x:tableColumn id="3" name="Preenchidas"/>
    <x:tableColumn id="4" name="Ausentes"/>
    <x:tableColumn id="5" name="Agente responsável"/>
    <x:tableColumn id="6" name="Prioridade"/>
    <x:tableColumn id="7" name="Próxima ação"/>
  </x:tableColumns>
  <x:tableStyleInfo name="TableStyleMedium2" showRowStripes="1"/>
</x:table>
</file>

<file path=xl/tables/table6.xml><?xml version="1.0" encoding="utf-8"?>
<x:table xmlns:x="http://schemas.openxmlformats.org/spreadsheetml/2006/main" id="6" name="EnvironmentalDictionaryTable" displayName="EnvironmentalDictionaryTable" ref="A1:G36" headerRowCount="1">
  <x:tableColumns count="7">
    <x:tableColumn id="1" name="Entidade"/>
    <x:tableColumn id="2" name="Campo"/>
    <x:tableColumn id="3" name="Tipo"/>
    <x:tableColumn id="4" name="Obrigatoriedade"/>
    <x:tableColumn id="5" name="Gate"/>
    <x:tableColumn id="6" name="Fonte preferencial"/>
    <x:tableColumn id="7" name="Definição"/>
  </x:tableColumns>
  <x:tableStyleInfo name="TableStyleMedium2" showRowStripes="1"/>
</x:table>
</file>

<file path=xl/tables/table7.xml><?xml version="1.0" encoding="utf-8"?>
<x:table xmlns:x="http://schemas.openxmlformats.org/spreadsheetml/2006/main" id="7" name="AgentBacklogTable" displayName="AgentBacklogTable" ref="A1:H11" headerRowCount="1">
  <x:tableColumns count="8">
    <x:tableColumn id="1" name="Task ID"/>
    <x:tableColumn id="2" name="Fase"/>
    <x:tableColumn id="3" name="Agente"/>
    <x:tableColumn id="4" name="Ação"/>
    <x:tableColumn id="5" name="Entregável"/>
    <x:tableColumn id="6" name="Status"/>
    <x:tableColumn id="7" name="Dependências"/>
    <x:tableColumn id="8" name="Critério de acei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79b5f909aa45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63f3833d134c5c" /><Relationship Type="http://schemas.openxmlformats.org/officeDocument/2006/relationships/table" Target="/xl/tables/table2.xml" Id="Rca3cda5da091493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af614edd6fd844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.xml" Id="R0972cd64d3b347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4.xml" Id="Rb809fec105bb44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5.xml" Id="R9e6f3e1424e0446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6.xml" Id="Rd13e6a0df283409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7.xml" Id="Rf7dccc14843244ca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6" hidden="0" customWidth="1"/>
    <x:col min="3" max="3" width="31" hidden="0" customWidth="1"/>
    <x:col min="4" max="4" width="25" hidden="0" customWidth="1"/>
    <x:col min="5" max="5" width="18" hidden="0" customWidth="1"/>
  </x:cols>
  <x:sheetData>
    <x:row r="1">
      <x:c r="A1" s="42" t="str">
        <x:v>PHYLLOS — Operação de coleta de amostras têxteis v1.1</x:v>
      </x:c>
      <x:c r="B1" s="42" t="str">
        <x:v>PHYLLOS — Operação de coleta de amostras têxteis v1.1</x:v>
      </x:c>
      <x:c r="C1" s="42" t="str">
        <x:v>PHYLLOS — Operação de coleta de amostras têxteis v1.1</x:v>
      </x:c>
      <x:c r="D1" s="42" t="str">
        <x:v>PHYLLOS — Operação de coleta de amostras têxteis v1.1</x:v>
      </x:c>
      <x:c r="E1" s="42" t="str">
        <x:v>PHYLLOS — Operação de coleta de amostras têxteis v1.1</x:v>
      </x:c>
      <x:c r="F1" s="42" t="str">
        <x:v>PHYLLOS — Operação de coleta de amostras têxteis v1.1</x:v>
      </x:c>
      <x:c r="G1" s="42" t="str">
        <x:v>PHYLLOS — Operação de coleta de amostras têxteis v1.1</x:v>
      </x:c>
      <x:c r="H1" s="42" t="str">
        <x:v>PHYLLOS — Operação de coleta de amostras têxteis v1.1</x:v>
      </x:c>
      <x:c r="I1" s="25"/>
      <x:c r="J1" s="25"/>
      <x:c r="K1" s="25"/>
      <x:c r="L1" s="25"/>
      <x:c r="M1" s="25"/>
      <x:c r="N1" s="25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42" t="str">
        <x:v>PHYLLOS — Operação de coleta de amostras têxteis v1.1</x:v>
      </x:c>
      <x:c r="B2" s="42" t="str">
        <x:v>PHYLLOS — Operação de coleta de amostras têxteis v1.1</x:v>
      </x:c>
      <x:c r="C2" s="42" t="str">
        <x:v>PHYLLOS — Operação de coleta de amostras têxteis v1.1</x:v>
      </x:c>
      <x:c r="D2" s="42" t="str">
        <x:v>PHYLLOS — Operação de coleta de amostras têxteis v1.1</x:v>
      </x:c>
      <x:c r="E2" s="42" t="str">
        <x:v>PHYLLOS — Operação de coleta de amostras têxteis v1.1</x:v>
      </x:c>
      <x:c r="F2" s="42" t="str">
        <x:v>PHYLLOS — Operação de coleta de amostras têxteis v1.1</x:v>
      </x:c>
      <x:c r="G2" s="42" t="str">
        <x:v>PHYLLOS — Operação de coleta de amostras têxteis v1.1</x:v>
      </x:c>
      <x:c r="H2" s="42" t="str">
        <x:v>PHYLLOS — Operação de coleta de amostras têxteis v1.1</x:v>
      </x:c>
      <x:c r="I2" s="25"/>
      <x:c r="J2" s="25"/>
      <x:c r="K2" s="25"/>
      <x:c r="L2" s="25"/>
      <x:c r="M2" s="25"/>
      <x:c r="N2" s="25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26" t="str">
        <x:v>Indicador</x:v>
      </x:c>
      <x:c r="B4" s="26" t="str">
        <x:v>Valor</x:v>
      </x:c>
      <x:c r="C4" s="27"/>
      <x:c r="D4" s="26" t="str">
        <x:v>Indicador</x:v>
      </x:c>
      <x:c r="E4" s="26" t="str">
        <x:v>Valor</x:v>
      </x:c>
      <x:c r="F4" s="25"/>
      <x:c r="G4" s="25"/>
      <x:c r="H4" s="25"/>
      <x:c r="I4" s="25"/>
      <x:c r="J4" s="25"/>
      <x:c r="K4" s="25"/>
      <x:c r="L4" s="25"/>
      <x:c r="M4" s="25"/>
      <x:c r="N4" s="25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27" t="str">
        <x:v>Candidatas no lote</x:v>
      </x:c>
      <x:c r="B5" s="27" t="n">
        <x:v>70</x:v>
      </x:c>
      <x:c r="C5" s="27"/>
      <x:c r="D5" s="27" t="str">
        <x:v>Documentos validados</x:v>
      </x:c>
      <x:c r="E5" s="27" t="n">
        <x:f>COUNTIF('Registro de Amostras'!L2:L200,"Documento validado")</x:f>
        <x:v>0</x:v>
      </x:c>
      <x:c r="F5" s="25"/>
      <x:c r="G5" s="25"/>
      <x:c r="H5" s="25"/>
      <x:c r="I5" s="25"/>
      <x:c r="J5" s="25"/>
      <x:c r="K5" s="25"/>
      <x:c r="L5" s="25"/>
      <x:c r="M5" s="25"/>
      <x:c r="N5" s="2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s="27" t="str">
        <x:v>Meta mínima</x:v>
      </x:c>
      <x:c r="B6" s="27" t="n">
        <x:v>50</x:v>
      </x:c>
      <x:c r="C6" s="27"/>
      <x:c r="D6" s="27" t="str">
        <x:v>Amostras aceitas</x:v>
      </x:c>
      <x:c r="E6" s="27" t="n">
        <x:f>COUNTIF('Registro de Amostras'!M2:M200,"Aceita")</x:f>
        <x:v>0</x:v>
      </x:c>
      <x:c r="F6" s="25"/>
      <x:c r="G6" s="25"/>
      <x:c r="H6" s="25"/>
      <x:c r="I6" s="25"/>
      <x:c r="J6" s="25"/>
      <x:c r="K6" s="25"/>
      <x:c r="L6" s="25"/>
      <x:c r="M6" s="25"/>
      <x:c r="N6" s="25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s="27" t="str">
        <x:v>Meta recomendada</x:v>
      </x:c>
      <x:c r="B7" s="27" t="n">
        <x:v>70</x:v>
      </x:c>
      <x:c r="C7" s="27"/>
      <x:c r="D7" s="27" t="str">
        <x:v>Em revisão</x:v>
      </x:c>
      <x:c r="E7" s="27" t="n">
        <x:f>COUNTIF('Registro de Amostras'!S2:S200,"Em revisão")</x:f>
        <x:v>0</x:v>
      </x:c>
      <x:c r="F7" s="25"/>
      <x:c r="G7" s="25"/>
      <x:c r="H7" s="25"/>
      <x:c r="I7" s="25"/>
      <x:c r="J7" s="25"/>
      <x:c r="K7" s="25"/>
      <x:c r="L7" s="25"/>
      <x:c r="M7" s="25"/>
      <x:c r="N7" s="25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27" t="str">
        <x:v>Meta máxima desta rodada</x:v>
      </x:c>
      <x:c r="B8" s="27" t="n">
        <x:v>100</x:v>
      </x:c>
      <x:c r="C8" s="27"/>
      <x:c r="D8" s="27" t="str">
        <x:v>Pendentes de solicitação</x:v>
      </x:c>
      <x:c r="E8" s="27" t="n">
        <x:f>COUNTIF('Registro de Amostras'!K2:K200,"A solicitar")</x:f>
        <x:v>70</x:v>
      </x:c>
      <x:c r="F8" s="25"/>
      <x:c r="G8" s="25"/>
      <x:c r="H8" s="25"/>
      <x:c r="I8" s="25"/>
      <x:c r="J8" s="25"/>
      <x:c r="K8" s="25"/>
      <x:c r="L8" s="25"/>
      <x:c r="M8" s="25"/>
      <x:c r="N8" s="25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 s="27" t="str">
        <x:v>Amostras recebidas</x:v>
      </x:c>
      <x:c r="B9" s="27" t="n">
        <x:f>COUNTIF('Registro de Amostras'!K2:K200,"Recebida")</x:f>
        <x:v>0</x:v>
      </x:c>
      <x:c r="C9" s="27"/>
      <x:c r="D9" s="27" t="str">
        <x:v>Cobertura estrutural</x:v>
      </x:c>
      <x:c r="E9" s="27" t="n">
        <x:v>5</x:v>
      </x:c>
      <x:c r="F9" s="25"/>
      <x:c r="G9" s="25"/>
      <x:c r="H9" s="25"/>
      <x:c r="I9" s="25"/>
      <x:c r="J9" s="25"/>
      <x:c r="K9" s="25"/>
      <x:c r="L9" s="25"/>
      <x:c r="M9" s="25"/>
      <x:c r="N9" s="25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 s="26" t="str">
        <x:v>Gate de aceitação</x:v>
      </x:c>
      <x:c r="B12" s="26" t="str">
        <x:v>Obrigatório</x:v>
      </x:c>
      <x:c r="C12" s="26" t="str">
        <x:v>Descrição</x:v>
      </x:c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 s="27" t="str">
        <x:v>Amostra física</x:v>
      </x:c>
      <x:c r="B13" s="27" t="str">
        <x:v>Sim</x:v>
      </x:c>
      <x:c r="C13" s="27" t="str">
        <x:v>Retalho ou corpo de prova identificado</x:v>
      </x:c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 s="27" t="str">
        <x:v>Ficha técnica ou ensaio</x:v>
      </x:c>
      <x:c r="B14" s="27" t="str">
        <x:v>Sim</x:v>
      </x:c>
      <x:c r="C14" s="27" t="str">
        <x:v>Artefato preservado e vinculado</x:v>
      </x:c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 s="27" t="str">
        <x:v>Código do fornecedor/lote</x:v>
      </x:c>
      <x:c r="B15" s="27" t="str">
        <x:v>Sim</x:v>
      </x:c>
      <x:c r="C15" s="27" t="str">
        <x:v>Evita amostra sem identidade</x:v>
      </x:c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 s="27" t="str">
        <x:v>Hash do documento</x:v>
      </x:c>
      <x:c r="B16" s="27" t="str">
        <x:v>Sim</x:v>
      </x:c>
      <x:c r="C16" s="27" t="str">
        <x:v>Integridade do artefato</x:v>
      </x:c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 s="27" t="str">
        <x:v>Revisão humana</x:v>
      </x:c>
      <x:c r="B17" s="27" t="str">
        <x:v>Sim</x:v>
      </x:c>
      <x:c r="C17" s="27" t="str">
        <x:v>Confirma relevância e suficiência</x:v>
      </x:c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 s="27" t="str">
        <x:v>Licença de uso</x:v>
      </x:c>
      <x:c r="B18" s="27" t="str">
        <x:v>Verificar</x:v>
      </x:c>
      <x:c r="C18" s="27" t="str">
        <x:v>Especialmente antes de treinamento/publicação</x:v>
      </x:c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 s="27" t="str">
        <x:v>Classificação automática</x:v>
      </x:c>
      <x:c r="B19" s="27" t="str">
        <x:v>Não nesta etapa</x:v>
      </x:c>
      <x:c r="C19" s="27" t="str">
        <x:v>Somente após intake aprovado</x:v>
      </x:c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 s="47" t="str">
        <x:v>Cobertura pendente</x:v>
      </x:c>
      <x:c r="B21" s="47" t="str">
        <x:v>Planejado</x:v>
      </x:c>
      <x:c r="C21" s="47" t="str">
        <x:v>Status</x:v>
      </x:c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 s="12" t="str">
        <x:v>malha_urdume</x:v>
      </x:c>
      <x:c r="B22" s="12" t="n">
        <x:v>0</x:v>
      </x:c>
      <x:c r="C22" s="12" t="str">
        <x:v>Lacuna — leads adicionados</x:v>
      </x:c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 s="12" t="str">
        <x:v>costurado_stitch_bonded</x:v>
      </x:c>
      <x:c r="B23" s="12" t="n">
        <x:v>0</x:v>
      </x:c>
      <x:c r="C23" s="12" t="str">
        <x:v>Lacuna — leads adicionados</x:v>
      </x:c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 s="12" t="str">
        <x:v>Solicitações preparadas</x:v>
      </x:c>
      <x:c r="B24" s="12" t="n">
        <x:v>4</x:v>
      </x:c>
      <x:c r="C24" s="12" t="str">
        <x:v>Não enviadas</x:v>
      </x:c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 s="12" t="str">
        <x:v>Contrato do grafo</x:v>
      </x:c>
      <x:c r="B25" s="12" t="str">
        <x:v>0.4.1</x:v>
      </x:c>
      <x:c r="C25" s="12" t="str">
        <x:v>Conectado</x:v>
      </x:c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3f79b5f909aa4569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5" hidden="0" customWidth="1"/>
    <x:col min="4" max="4" width="20" hidden="0" customWidth="1"/>
    <x:col min="5" max="5" width="28" hidden="0" customWidth="1"/>
    <x:col min="6" max="6" width="34" hidden="0" customWidth="1"/>
    <x:col min="7" max="7" width="38" hidden="0" customWidth="1"/>
    <x:col min="8" max="8" width="12" hidden="0" customWidth="1"/>
    <x:col min="9" max="9" width="14" hidden="0" customWidth="1"/>
    <x:col min="10" max="10" width="30" hidden="0" customWidth="1"/>
    <x:col min="11" max="11" width="14" hidden="0" customWidth="1"/>
    <x:col min="12" max="12" width="18" hidden="0" customWidth="1"/>
    <x:col min="13" max="13" width="16" hidden="0" customWidth="1"/>
    <x:col min="14" max="14" width="14" hidden="0" customWidth="1"/>
    <x:col min="15" max="15" width="12" hidden="0" customWidth="1"/>
    <x:col min="16" max="16" width="16" hidden="0" customWidth="1"/>
    <x:col min="17" max="17" width="22" hidden="0" customWidth="1"/>
    <x:col min="18" max="18" width="22" hidden="0" customWidth="1"/>
    <x:col min="19" max="19" width="16" hidden="0" customWidth="1"/>
    <x:col min="20" max="20" width="38" hidden="0" customWidth="1"/>
    <x:col min="21" max="21" width="36" hidden="0" customWidth="1"/>
    <x:col min="22" max="22" width="46" hidden="0" customWidth="1"/>
    <x:col min="23" max="23" width="54" hidden="0" customWidth="1"/>
    <x:col min="24" max="24" width="24" hidden="0" customWidth="1"/>
    <x:col min="25" max="25" width="32" hidden="0" customWidth="1"/>
    <x:col min="26" max="26" width="24" hidden="0" customWidth="1"/>
    <x:col min="27" max="27" width="24" hidden="0" customWidth="1"/>
    <x:col min="28" max="28" width="24" hidden="0" customWidth="1"/>
    <x:col min="29" max="29" width="28" hidden="0" customWidth="1"/>
    <x:col min="30" max="30" width="28" hidden="0" customWidth="1"/>
  </x:cols>
  <x:sheetData>
    <x:row r="1">
      <x:c r="A1" s="26" t="str">
        <x:v>ID da amostra</x:v>
      </x:c>
      <x:c r="B1" s="26" t="str">
        <x:v>Fornecedor</x:v>
      </x:c>
      <x:c r="C1" s="26" t="str">
        <x:v>Produto / amostra alvo</x:v>
      </x:c>
      <x:c r="D1" s="26" t="str">
        <x:v>Família estrutural alvo</x:v>
      </x:c>
      <x:c r="E1" s="26" t="str">
        <x:v>Construção / diversidade alvo</x:v>
      </x:c>
      <x:c r="F1" s="26" t="str">
        <x:v>Disponibilidade documental</x:v>
      </x:c>
      <x:c r="G1" s="26" t="str">
        <x:v>Fonte oficial</x:v>
      </x:c>
      <x:c r="H1" s="26" t="str">
        <x:v>Prioridade</x:v>
      </x:c>
      <x:c r="I1" s="26" t="str">
        <x:v>Geografia</x:v>
      </x:c>
      <x:c r="J1" s="26" t="str">
        <x:v>Canal de aquisição</x:v>
      </x:c>
      <x:c r="K1" s="26" t="str">
        <x:v>Status físico</x:v>
      </x:c>
      <x:c r="L1" s="26" t="str">
        <x:v>Status documento</x:v>
      </x:c>
      <x:c r="M1" s="26" t="str">
        <x:v>Status intake</x:v>
      </x:c>
      <x:c r="N1" s="26" t="str">
        <x:v>Responsável</x:v>
      </x:c>
      <x:c r="O1" s="26" t="str">
        <x:v>Qtd. planejada</x:v>
      </x:c>
      <x:c r="P1" s="26" t="str">
        <x:v>Data recebimento</x:v>
      </x:c>
      <x:c r="Q1" s="26" t="str">
        <x:v>Arquivo documental</x:v>
      </x:c>
      <x:c r="R1" s="26" t="str">
        <x:v>Hash da evidência</x:v>
      </x:c>
      <x:c r="S1" s="26" t="str">
        <x:v>Status revisão</x:v>
      </x:c>
      <x:c r="T1" s="26" t="str">
        <x:v>Observações</x:v>
      </x:c>
      <x:c r="U1" s="52" t="str">
        <x:v>Dimension Revision ID</x:v>
      </x:c>
      <x:c r="V1" s="52" t="str">
        <x:v>Family Concept Revision ID</x:v>
      </x:c>
      <x:c r="W1" s="52" t="str">
        <x:v>Construction Concept Revision IDs</x:v>
      </x:c>
      <x:c r="X1" s="52" t="str">
        <x:v>Mapping Status</x:v>
      </x:c>
      <x:c r="Y1" s="52" t="str">
        <x:v>TextileSample Node ID</x:v>
      </x:c>
      <x:c r="Z1" s="52" t="str">
        <x:v>Evidence IDs</x:v>
      </x:c>
      <x:c r="AA1" s="47" t="str">
        <x:v>Assertion IDs</x:v>
      </x:c>
      <x:c r="AB1" s="47" t="str">
        <x:v>Review IDs</x:v>
      </x:c>
      <x:c r="AC1" s="47" t="str">
        <x:v>PublicationDecision IDs</x:v>
      </x:c>
      <x:c r="AD1" s="47" t="str">
        <x:v>Onda de solicitação</x:v>
      </x:c>
    </x:row>
    <x:row r="2">
      <x:c r="A2" s="32" t="str">
        <x:v>OPS-TX-001</x:v>
      </x:c>
      <x:c r="B2" s="32" t="str">
        <x:v>Polartec</x:v>
      </x:c>
      <x:c r="C2" s="32" t="str">
        <x:v>Delta</x:v>
      </x:c>
      <x:c r="D2" s="32" t="str">
        <x:v>malha_trama</x:v>
      </x:c>
      <x:c r="E2" s="32" t="str">
        <x:v>malha técnica bi-componente</x:v>
      </x:c>
      <x:c r="F2" s="32" t="str">
        <x:v>Página técnica oficial; alguns produtos citam método/resultado de ensaio</x:v>
      </x:c>
      <x:c r="G2" s="32" t="str">
        <x:v>https://www.polartec.com/fabrics</x:v>
      </x:c>
      <x:c r="H2" s="32" t="str">
        <x:v>Alta</x:v>
      </x:c>
      <x:c r="I2" s="32" t="str">
        <x:v>Internacional</x:v>
      </x:c>
      <x:c r="J2" s="32" t="str">
        <x:v>Solicitar amostra ao fabricante/distribuidor</x:v>
      </x:c>
      <x:c r="K2" s="32" t="str">
        <x:v>A solicitar</x:v>
      </x:c>
      <x:c r="L2" s="32" t="str">
        <x:v>Referência localizada</x:v>
      </x:c>
      <x:c r="M2" s="32" t="str">
        <x:v>Candidata</x:v>
      </x:c>
      <x:c r="N2" s="32" t="str">
        <x:v>Operations</x:v>
      </x:c>
      <x:c r="O2" s="32" t="n">
        <x:v>1</x:v>
      </x:c>
      <x:c r="P2" s="32"/>
      <x:c r="Q2" s="32" t="str"/>
      <x:c r="R2" s="32" t="str"/>
      <x:c r="S2" s="32" t="str">
        <x:v>Não revisada</x:v>
      </x:c>
      <x:c r="T2" s="32" t="str">
        <x:v>Confirmar ficha técnica/ensaio e código exato antes da aceitação.</x:v>
      </x:c>
      <x:c r="U2" s="32" t="str">
        <x:v>dimension-revision:structure.family:v0.3</x:v>
      </x:c>
      <x:c r="V2" s="32" t="str">
        <x:v>concept-revision:structure.family.weft_knit:v0.3</x:v>
      </x:c>
      <x:c r="W2" s="32" t="str"/>
      <x:c r="X2" s="32" t="str">
        <x:v>lead_only_not_asserted</x:v>
      </x:c>
      <x:c r="Y2" s="32" t="str">
        <x:v>textile-sample:ops-tx-001</x:v>
      </x:c>
      <x:c r="Z2" s="32" t="str"/>
      <x:c r="AA2" s="14" t="str"/>
      <x:c r="AB2" s="14" t="str"/>
      <x:c r="AC2" s="14" t="str"/>
      <x:c r="AD2" s="14" t="str">
        <x:v>wave-1-polartec-cordura</x:v>
      </x:c>
    </x:row>
    <x:row r="3">
      <x:c r="A3" s="32" t="str">
        <x:v>OPS-TX-002</x:v>
      </x:c>
      <x:c r="B3" s="32" t="str">
        <x:v>Polartec</x:v>
      </x:c>
      <x:c r="C3" s="32" t="str">
        <x:v>Power Dry</x:v>
      </x:c>
      <x:c r="D3" s="32" t="str">
        <x:v>malha_trama</x:v>
      </x:c>
      <x:c r="E3" s="32" t="str">
        <x:v>malha técnica bi-componente</x:v>
      </x:c>
      <x:c r="F3" s="32" t="str">
        <x:v>Página técnica oficial; alguns produtos citam método/resultado de ensaio</x:v>
      </x:c>
      <x:c r="G3" s="32" t="str">
        <x:v>https://www.polartec.com/fabrics</x:v>
      </x:c>
      <x:c r="H3" s="32" t="str">
        <x:v>Alta</x:v>
      </x:c>
      <x:c r="I3" s="32" t="str">
        <x:v>Internacional</x:v>
      </x:c>
      <x:c r="J3" s="32" t="str">
        <x:v>Solicitar amostra ao fabricante/distribuidor</x:v>
      </x:c>
      <x:c r="K3" s="32" t="str">
        <x:v>A solicitar</x:v>
      </x:c>
      <x:c r="L3" s="32" t="str">
        <x:v>Referência localizada</x:v>
      </x:c>
      <x:c r="M3" s="32" t="str">
        <x:v>Candidata</x:v>
      </x:c>
      <x:c r="N3" s="32" t="str">
        <x:v>Operations</x:v>
      </x:c>
      <x:c r="O3" s="32" t="n">
        <x:v>1</x:v>
      </x:c>
      <x:c r="P3" s="32"/>
      <x:c r="Q3" s="32" t="str"/>
      <x:c r="R3" s="32" t="str"/>
      <x:c r="S3" s="32" t="str">
        <x:v>Não revisada</x:v>
      </x:c>
      <x:c r="T3" s="32" t="str">
        <x:v>Confirmar ficha técnica/ensaio e código exato antes da aceitação.</x:v>
      </x:c>
      <x:c r="U3" s="32" t="str">
        <x:v>dimension-revision:structure.family:v0.3</x:v>
      </x:c>
      <x:c r="V3" s="32" t="str">
        <x:v>concept-revision:structure.family.weft_knit:v0.3</x:v>
      </x:c>
      <x:c r="W3" s="32" t="str"/>
      <x:c r="X3" s="32" t="str">
        <x:v>lead_only_not_asserted</x:v>
      </x:c>
      <x:c r="Y3" s="32" t="str">
        <x:v>textile-sample:ops-tx-002</x:v>
      </x:c>
      <x:c r="Z3" s="32" t="str"/>
      <x:c r="AA3" s="14" t="str"/>
      <x:c r="AB3" s="14" t="str"/>
      <x:c r="AC3" s="14" t="str"/>
      <x:c r="AD3" s="14" t="str">
        <x:v>wave-1-polartec-cordura</x:v>
      </x:c>
    </x:row>
    <x:row r="4">
      <x:c r="A4" s="32" t="str">
        <x:v>OPS-TX-003</x:v>
      </x:c>
      <x:c r="B4" s="32" t="str">
        <x:v>Polartec</x:v>
      </x:c>
      <x:c r="C4" s="32" t="str">
        <x:v>Power Grid</x:v>
      </x:c>
      <x:c r="D4" s="32" t="str">
        <x:v>malha_trama</x:v>
      </x:c>
      <x:c r="E4" s="32" t="str">
        <x:v>malha grid/fleece</x:v>
      </x:c>
      <x:c r="F4" s="32" t="str">
        <x:v>Página técnica oficial; alguns produtos citam método/resultado de ensaio</x:v>
      </x:c>
      <x:c r="G4" s="32" t="str">
        <x:v>https://www.polartec.com/fabrics</x:v>
      </x:c>
      <x:c r="H4" s="32" t="str">
        <x:v>Alta</x:v>
      </x:c>
      <x:c r="I4" s="32" t="str">
        <x:v>Internacional</x:v>
      </x:c>
      <x:c r="J4" s="32" t="str">
        <x:v>Solicitar amostra ao fabricante/distribuidor</x:v>
      </x:c>
      <x:c r="K4" s="32" t="str">
        <x:v>A solicitar</x:v>
      </x:c>
      <x:c r="L4" s="32" t="str">
        <x:v>Referência localizada</x:v>
      </x:c>
      <x:c r="M4" s="32" t="str">
        <x:v>Candidata</x:v>
      </x:c>
      <x:c r="N4" s="32" t="str">
        <x:v>Operations</x:v>
      </x:c>
      <x:c r="O4" s="32" t="n">
        <x:v>1</x:v>
      </x:c>
      <x:c r="P4" s="32"/>
      <x:c r="Q4" s="32" t="str"/>
      <x:c r="R4" s="32" t="str"/>
      <x:c r="S4" s="32" t="str">
        <x:v>Não revisada</x:v>
      </x:c>
      <x:c r="T4" s="32" t="str">
        <x:v>Confirmar ficha técnica/ensaio e código exato antes da aceitação.</x:v>
      </x:c>
      <x:c r="U4" s="32" t="str">
        <x:v>dimension-revision:structure.family:v0.3</x:v>
      </x:c>
      <x:c r="V4" s="32" t="str">
        <x:v>concept-revision:structure.family.weft_knit:v0.3</x:v>
      </x:c>
      <x:c r="W4" s="32" t="str">
        <x:v>concept-revision:patterning.surface_multilayer.fleece:v0.3</x:v>
      </x:c>
      <x:c r="X4" s="32" t="str">
        <x:v>lead_only_not_asserted</x:v>
      </x:c>
      <x:c r="Y4" s="32" t="str">
        <x:v>textile-sample:ops-tx-003</x:v>
      </x:c>
      <x:c r="Z4" s="32" t="str"/>
      <x:c r="AA4" s="14" t="str"/>
      <x:c r="AB4" s="14" t="str"/>
      <x:c r="AC4" s="14" t="str"/>
      <x:c r="AD4" s="14" t="str">
        <x:v>wave-1-polartec-cordura</x:v>
      </x:c>
    </x:row>
    <x:row r="5">
      <x:c r="A5" s="32" t="str">
        <x:v>OPS-TX-004</x:v>
      </x:c>
      <x:c r="B5" s="32" t="str">
        <x:v>Polartec</x:v>
      </x:c>
      <x:c r="C5" s="32" t="str">
        <x:v>Power Stretch</x:v>
      </x:c>
      <x:c r="D5" s="32" t="str">
        <x:v>malha_trama</x:v>
      </x:c>
      <x:c r="E5" s="32" t="str">
        <x:v>malha elástica dupla superfície</x:v>
      </x:c>
      <x:c r="F5" s="32" t="str">
        <x:v>Página técnica oficial; alguns produtos citam método/resultado de ensaio</x:v>
      </x:c>
      <x:c r="G5" s="32" t="str">
        <x:v>https://www.polartec.com/fabrics</x:v>
      </x:c>
      <x:c r="H5" s="32" t="str">
        <x:v>Alta</x:v>
      </x:c>
      <x:c r="I5" s="32" t="str">
        <x:v>Internacional</x:v>
      </x:c>
      <x:c r="J5" s="32" t="str">
        <x:v>Solicitar amostra ao fabricante/distribuidor</x:v>
      </x:c>
      <x:c r="K5" s="32" t="str">
        <x:v>A solicitar</x:v>
      </x:c>
      <x:c r="L5" s="32" t="str">
        <x:v>Referência localizada</x:v>
      </x:c>
      <x:c r="M5" s="32" t="str">
        <x:v>Candidata</x:v>
      </x:c>
      <x:c r="N5" s="32" t="str">
        <x:v>Operations</x:v>
      </x:c>
      <x:c r="O5" s="32" t="n">
        <x:v>1</x:v>
      </x:c>
      <x:c r="P5" s="32"/>
      <x:c r="Q5" s="32" t="str"/>
      <x:c r="R5" s="32" t="str"/>
      <x:c r="S5" s="32" t="str">
        <x:v>Não revisada</x:v>
      </x:c>
      <x:c r="T5" s="32" t="str">
        <x:v>Confirmar ficha técnica/ensaio e código exato antes da aceitação.</x:v>
      </x:c>
      <x:c r="U5" s="32" t="str">
        <x:v>dimension-revision:structure.family:v0.3</x:v>
      </x:c>
      <x:c r="V5" s="32" t="str">
        <x:v>concept-revision:structure.family.weft_knit:v0.3</x:v>
      </x:c>
      <x:c r="W5" s="32" t="str">
        <x:v>concept-revision:patterning.surface_multilayer.double_face:v0.3</x:v>
      </x:c>
      <x:c r="X5" s="32" t="str">
        <x:v>lead_only_not_asserted</x:v>
      </x:c>
      <x:c r="Y5" s="32" t="str">
        <x:v>textile-sample:ops-tx-004</x:v>
      </x:c>
      <x:c r="Z5" s="32" t="str"/>
      <x:c r="AA5" s="14" t="str"/>
      <x:c r="AB5" s="14" t="str"/>
      <x:c r="AC5" s="14" t="str"/>
      <x:c r="AD5" s="14" t="str">
        <x:v>wave-1-polartec-cordura</x:v>
      </x:c>
    </x:row>
    <x:row r="6">
      <x:c r="A6" s="32" t="str">
        <x:v>OPS-TX-005</x:v>
      </x:c>
      <x:c r="B6" s="32" t="str">
        <x:v>Polartec</x:v>
      </x:c>
      <x:c r="C6" s="32" t="str">
        <x:v>Power Stretch Pro</x:v>
      </x:c>
      <x:c r="D6" s="32" t="str">
        <x:v>malha_trama</x:v>
      </x:c>
      <x:c r="E6" s="32" t="str">
        <x:v>malha elástica dupla superfície</x:v>
      </x:c>
      <x:c r="F6" s="32" t="str">
        <x:v>Página técnica oficial; alguns produtos citam método/resultado de ensaio</x:v>
      </x:c>
      <x:c r="G6" s="32" t="str">
        <x:v>https://www.polartec.com/fabrics</x:v>
      </x:c>
      <x:c r="H6" s="32" t="str">
        <x:v>Alta</x:v>
      </x:c>
      <x:c r="I6" s="32" t="str">
        <x:v>Internacional</x:v>
      </x:c>
      <x:c r="J6" s="32" t="str">
        <x:v>Solicitar amostra ao fabricante/distribuidor</x:v>
      </x:c>
      <x:c r="K6" s="32" t="str">
        <x:v>A solicitar</x:v>
      </x:c>
      <x:c r="L6" s="32" t="str">
        <x:v>Referência localizada</x:v>
      </x:c>
      <x:c r="M6" s="32" t="str">
        <x:v>Candidata</x:v>
      </x:c>
      <x:c r="N6" s="32" t="str">
        <x:v>Operations</x:v>
      </x:c>
      <x:c r="O6" s="32" t="n">
        <x:v>1</x:v>
      </x:c>
      <x:c r="P6" s="32"/>
      <x:c r="Q6" s="32" t="str"/>
      <x:c r="R6" s="32" t="str"/>
      <x:c r="S6" s="32" t="str">
        <x:v>Não revisada</x:v>
      </x:c>
      <x:c r="T6" s="32" t="str">
        <x:v>Confirmar ficha técnica/ensaio e código exato antes da aceitação.</x:v>
      </x:c>
      <x:c r="U6" s="32" t="str">
        <x:v>dimension-revision:structure.family:v0.3</x:v>
      </x:c>
      <x:c r="V6" s="32" t="str">
        <x:v>concept-revision:structure.family.weft_knit:v0.3</x:v>
      </x:c>
      <x:c r="W6" s="32" t="str">
        <x:v>concept-revision:patterning.surface_multilayer.double_face:v0.3</x:v>
      </x:c>
      <x:c r="X6" s="32" t="str">
        <x:v>lead_only_not_asserted</x:v>
      </x:c>
      <x:c r="Y6" s="32" t="str">
        <x:v>textile-sample:ops-tx-005</x:v>
      </x:c>
      <x:c r="Z6" s="32" t="str"/>
      <x:c r="AA6" s="14" t="str"/>
      <x:c r="AB6" s="14" t="str"/>
      <x:c r="AC6" s="14" t="str"/>
      <x:c r="AD6" s="14" t="str">
        <x:v>wave-1-polartec-cordura</x:v>
      </x:c>
    </x:row>
    <x:row r="7">
      <x:c r="A7" s="32" t="str">
        <x:v>OPS-TX-006</x:v>
      </x:c>
      <x:c r="B7" s="32" t="str">
        <x:v>Polartec</x:v>
      </x:c>
      <x:c r="C7" s="32" t="str">
        <x:v>Power Wool</x:v>
      </x:c>
      <x:c r="D7" s="32" t="str">
        <x:v>malha_trama</x:v>
      </x:c>
      <x:c r="E7" s="32" t="str">
        <x:v>malha bi-componente lã/sintético</x:v>
      </x:c>
      <x:c r="F7" s="32" t="str">
        <x:v>Página técnica oficial; alguns produtos citam método/resultado de ensaio</x:v>
      </x:c>
      <x:c r="G7" s="32" t="str">
        <x:v>https://www.polartec.com/fabrics</x:v>
      </x:c>
      <x:c r="H7" s="32" t="str">
        <x:v>Alta</x:v>
      </x:c>
      <x:c r="I7" s="32" t="str">
        <x:v>Internacional</x:v>
      </x:c>
      <x:c r="J7" s="32" t="str">
        <x:v>Solicitar amostra ao fabricante/distribuidor</x:v>
      </x:c>
      <x:c r="K7" s="32" t="str">
        <x:v>A solicitar</x:v>
      </x:c>
      <x:c r="L7" s="32" t="str">
        <x:v>Referência localizada</x:v>
      </x:c>
      <x:c r="M7" s="32" t="str">
        <x:v>Candidata</x:v>
      </x:c>
      <x:c r="N7" s="32" t="str">
        <x:v>Operations</x:v>
      </x:c>
      <x:c r="O7" s="32" t="n">
        <x:v>1</x:v>
      </x:c>
      <x:c r="P7" s="32"/>
      <x:c r="Q7" s="32" t="str"/>
      <x:c r="R7" s="32" t="str"/>
      <x:c r="S7" s="32" t="str">
        <x:v>Não revisada</x:v>
      </x:c>
      <x:c r="T7" s="32" t="str">
        <x:v>Confirmar ficha técnica/ensaio e código exato antes da aceitação.</x:v>
      </x:c>
      <x:c r="U7" s="32" t="str">
        <x:v>dimension-revision:structure.family:v0.3</x:v>
      </x:c>
      <x:c r="V7" s="32" t="str">
        <x:v>concept-revision:structure.family.weft_knit:v0.3</x:v>
      </x:c>
      <x:c r="W7" s="32" t="str"/>
      <x:c r="X7" s="32" t="str">
        <x:v>lead_only_not_asserted</x:v>
      </x:c>
      <x:c r="Y7" s="32" t="str">
        <x:v>textile-sample:ops-tx-006</x:v>
      </x:c>
      <x:c r="Z7" s="32" t="str"/>
      <x:c r="AA7" s="14" t="str"/>
      <x:c r="AB7" s="14" t="str"/>
      <x:c r="AC7" s="14" t="str"/>
      <x:c r="AD7" s="14" t="str">
        <x:v>wave-1-polartec-cordura</x:v>
      </x:c>
    </x:row>
    <x:row r="8">
      <x:c r="A8" s="32" t="str">
        <x:v>OPS-TX-007</x:v>
      </x:c>
      <x:c r="B8" s="32" t="str">
        <x:v>Polartec</x:v>
      </x:c>
      <x:c r="C8" s="32" t="str">
        <x:v>Alpha</x:v>
      </x:c>
      <x:c r="D8" s="32" t="str">
        <x:v>malha_trama</x:v>
      </x:c>
      <x:c r="E8" s="32" t="str">
        <x:v>malha de isolamento com loft</x:v>
      </x:c>
      <x:c r="F8" s="32" t="str">
        <x:v>Página técnica oficial; alguns produtos citam método/resultado de ensaio</x:v>
      </x:c>
      <x:c r="G8" s="32" t="str">
        <x:v>https://www.polartec.com/fabrics</x:v>
      </x:c>
      <x:c r="H8" s="32" t="str">
        <x:v>Alta</x:v>
      </x:c>
      <x:c r="I8" s="32" t="str">
        <x:v>Internacional</x:v>
      </x:c>
      <x:c r="J8" s="32" t="str">
        <x:v>Solicitar amostra ao fabricante/distribuidor</x:v>
      </x:c>
      <x:c r="K8" s="32" t="str">
        <x:v>A solicitar</x:v>
      </x:c>
      <x:c r="L8" s="32" t="str">
        <x:v>Referência localizada</x:v>
      </x:c>
      <x:c r="M8" s="32" t="str">
        <x:v>Candidata</x:v>
      </x:c>
      <x:c r="N8" s="32" t="str">
        <x:v>Operations</x:v>
      </x:c>
      <x:c r="O8" s="32" t="n">
        <x:v>1</x:v>
      </x:c>
      <x:c r="P8" s="32"/>
      <x:c r="Q8" s="32" t="str"/>
      <x:c r="R8" s="32" t="str"/>
      <x:c r="S8" s="32" t="str">
        <x:v>Não revisada</x:v>
      </x:c>
      <x:c r="T8" s="32" t="str">
        <x:v>Confirmar ficha técnica/ensaio e código exato antes da aceitação.</x:v>
      </x:c>
      <x:c r="U8" s="32" t="str">
        <x:v>dimension-revision:structure.family:v0.3</x:v>
      </x:c>
      <x:c r="V8" s="32" t="str">
        <x:v>concept-revision:structure.family.weft_knit:v0.3</x:v>
      </x:c>
      <x:c r="W8" s="32" t="str"/>
      <x:c r="X8" s="32" t="str">
        <x:v>lead_only_not_asserted</x:v>
      </x:c>
      <x:c r="Y8" s="32" t="str">
        <x:v>textile-sample:ops-tx-007</x:v>
      </x:c>
      <x:c r="Z8" s="32" t="str"/>
      <x:c r="AA8" s="14" t="str"/>
      <x:c r="AB8" s="14" t="str"/>
      <x:c r="AC8" s="14" t="str"/>
      <x:c r="AD8" s="14" t="str">
        <x:v>wave-1-polartec-cordura</x:v>
      </x:c>
    </x:row>
    <x:row r="9">
      <x:c r="A9" s="32" t="str">
        <x:v>OPS-TX-008</x:v>
      </x:c>
      <x:c r="B9" s="32" t="str">
        <x:v>Polartec</x:v>
      </x:c>
      <x:c r="C9" s="32" t="str">
        <x:v>Fleece Micro Series</x:v>
      </x:c>
      <x:c r="D9" s="32" t="str">
        <x:v>malha_trama</x:v>
      </x:c>
      <x:c r="E9" s="32" t="str">
        <x:v>fleece leve</x:v>
      </x:c>
      <x:c r="F9" s="32" t="str">
        <x:v>Página técnica oficial; alguns produtos citam método/resultado de ensaio</x:v>
      </x:c>
      <x:c r="G9" s="32" t="str">
        <x:v>https://www.polartec.com/fabrics</x:v>
      </x:c>
      <x:c r="H9" s="32" t="str">
        <x:v>Alta</x:v>
      </x:c>
      <x:c r="I9" s="32" t="str">
        <x:v>Internacional</x:v>
      </x:c>
      <x:c r="J9" s="32" t="str">
        <x:v>Solicitar amostra ao fabricante/distribuidor</x:v>
      </x:c>
      <x:c r="K9" s="32" t="str">
        <x:v>A solicitar</x:v>
      </x:c>
      <x:c r="L9" s="32" t="str">
        <x:v>Referência localizada</x:v>
      </x:c>
      <x:c r="M9" s="32" t="str">
        <x:v>Candidata</x:v>
      </x:c>
      <x:c r="N9" s="32" t="str">
        <x:v>Operations</x:v>
      </x:c>
      <x:c r="O9" s="32" t="n">
        <x:v>1</x:v>
      </x:c>
      <x:c r="P9" s="32"/>
      <x:c r="Q9" s="32" t="str"/>
      <x:c r="R9" s="32" t="str"/>
      <x:c r="S9" s="32" t="str">
        <x:v>Não revisada</x:v>
      </x:c>
      <x:c r="T9" s="32" t="str">
        <x:v>Confirmar ficha técnica/ensaio e código exato antes da aceitação.</x:v>
      </x:c>
      <x:c r="U9" s="32" t="str">
        <x:v>dimension-revision:structure.family:v0.3</x:v>
      </x:c>
      <x:c r="V9" s="32" t="str">
        <x:v>concept-revision:structure.family.weft_knit:v0.3</x:v>
      </x:c>
      <x:c r="W9" s="32" t="str">
        <x:v>concept-revision:patterning.surface_multilayer.fleece:v0.3</x:v>
      </x:c>
      <x:c r="X9" s="32" t="str">
        <x:v>lead_only_not_asserted</x:v>
      </x:c>
      <x:c r="Y9" s="32" t="str">
        <x:v>textile-sample:ops-tx-008</x:v>
      </x:c>
      <x:c r="Z9" s="32" t="str"/>
      <x:c r="AA9" s="14" t="str"/>
      <x:c r="AB9" s="14" t="str"/>
      <x:c r="AC9" s="14" t="str"/>
      <x:c r="AD9" s="14" t="str">
        <x:v>wave-1-polartec-cordura</x:v>
      </x:c>
    </x:row>
    <x:row r="10">
      <x:c r="A10" s="32" t="str">
        <x:v>OPS-TX-009</x:v>
      </x:c>
      <x:c r="B10" s="32" t="str">
        <x:v>Polartec</x:v>
      </x:c>
      <x:c r="C10" s="32" t="str">
        <x:v>Fleece 100 Series</x:v>
      </x:c>
      <x:c r="D10" s="32" t="str">
        <x:v>malha_trama</x:v>
      </x:c>
      <x:c r="E10" s="32" t="str">
        <x:v>fleece leve</x:v>
      </x:c>
      <x:c r="F10" s="32" t="str">
        <x:v>Página técnica oficial; alguns produtos citam método/resultado de ensaio</x:v>
      </x:c>
      <x:c r="G10" s="32" t="str">
        <x:v>https://www.polartec.com/fabrics</x:v>
      </x:c>
      <x:c r="H10" s="32" t="str">
        <x:v>Alta</x:v>
      </x:c>
      <x:c r="I10" s="32" t="str">
        <x:v>Internacional</x:v>
      </x:c>
      <x:c r="J10" s="32" t="str">
        <x:v>Solicitar amostra ao fabricante/distribuidor</x:v>
      </x:c>
      <x:c r="K10" s="32" t="str">
        <x:v>A solicitar</x:v>
      </x:c>
      <x:c r="L10" s="32" t="str">
        <x:v>Referência localizada</x:v>
      </x:c>
      <x:c r="M10" s="32" t="str">
        <x:v>Candidata</x:v>
      </x:c>
      <x:c r="N10" s="32" t="str">
        <x:v>Operations</x:v>
      </x:c>
      <x:c r="O10" s="32" t="n">
        <x:v>1</x:v>
      </x:c>
      <x:c r="P10" s="32"/>
      <x:c r="Q10" s="32" t="str"/>
      <x:c r="R10" s="32" t="str"/>
      <x:c r="S10" s="32" t="str">
        <x:v>Não revisada</x:v>
      </x:c>
      <x:c r="T10" s="32" t="str">
        <x:v>Confirmar ficha técnica/ensaio e código exato antes da aceitação.</x:v>
      </x:c>
      <x:c r="U10" s="32" t="str">
        <x:v>dimension-revision:structure.family:v0.3</x:v>
      </x:c>
      <x:c r="V10" s="32" t="str">
        <x:v>concept-revision:structure.family.weft_knit:v0.3</x:v>
      </x:c>
      <x:c r="W10" s="32" t="str">
        <x:v>concept-revision:patterning.surface_multilayer.fleece:v0.3</x:v>
      </x:c>
      <x:c r="X10" s="32" t="str">
        <x:v>lead_only_not_asserted</x:v>
      </x:c>
      <x:c r="Y10" s="32" t="str">
        <x:v>textile-sample:ops-tx-009</x:v>
      </x:c>
      <x:c r="Z10" s="32" t="str"/>
      <x:c r="AA10" s="14" t="str"/>
      <x:c r="AB10" s="14" t="str"/>
      <x:c r="AC10" s="14" t="str"/>
      <x:c r="AD10" s="14" t="str">
        <x:v>wave-1-polartec-cordura</x:v>
      </x:c>
    </x:row>
    <x:row r="11">
      <x:c r="A11" s="32" t="str">
        <x:v>OPS-TX-010</x:v>
      </x:c>
      <x:c r="B11" s="32" t="str">
        <x:v>Polartec</x:v>
      </x:c>
      <x:c r="C11" s="32" t="str">
        <x:v>Fleece 200 Series</x:v>
      </x:c>
      <x:c r="D11" s="32" t="str">
        <x:v>malha_trama</x:v>
      </x:c>
      <x:c r="E11" s="32" t="str">
        <x:v>fleece médio</x:v>
      </x:c>
      <x:c r="F11" s="32" t="str">
        <x:v>Página técnica oficial; alguns produtos citam método/resultado de ensaio</x:v>
      </x:c>
      <x:c r="G11" s="32" t="str">
        <x:v>https://www.polartec.com/fabrics</x:v>
      </x:c>
      <x:c r="H11" s="32" t="str">
        <x:v>Alta</x:v>
      </x:c>
      <x:c r="I11" s="32" t="str">
        <x:v>Internacional</x:v>
      </x:c>
      <x:c r="J11" s="32" t="str">
        <x:v>Solicitar amostra ao fabricante/distribuidor</x:v>
      </x:c>
      <x:c r="K11" s="32" t="str">
        <x:v>A solicitar</x:v>
      </x:c>
      <x:c r="L11" s="32" t="str">
        <x:v>Referência localizada</x:v>
      </x:c>
      <x:c r="M11" s="32" t="str">
        <x:v>Candidata</x:v>
      </x:c>
      <x:c r="N11" s="32" t="str">
        <x:v>Operations</x:v>
      </x:c>
      <x:c r="O11" s="32" t="n">
        <x:v>1</x:v>
      </x:c>
      <x:c r="P11" s="32"/>
      <x:c r="Q11" s="32" t="str"/>
      <x:c r="R11" s="32" t="str"/>
      <x:c r="S11" s="32" t="str">
        <x:v>Não revisada</x:v>
      </x:c>
      <x:c r="T11" s="32" t="str">
        <x:v>Confirmar ficha técnica/ensaio e código exato antes da aceitação.</x:v>
      </x:c>
      <x:c r="U11" s="32" t="str">
        <x:v>dimension-revision:structure.family:v0.3</x:v>
      </x:c>
      <x:c r="V11" s="32" t="str">
        <x:v>concept-revision:structure.family.weft_knit:v0.3</x:v>
      </x:c>
      <x:c r="W11" s="32" t="str">
        <x:v>concept-revision:patterning.surface_multilayer.fleece:v0.3</x:v>
      </x:c>
      <x:c r="X11" s="32" t="str">
        <x:v>lead_only_not_asserted</x:v>
      </x:c>
      <x:c r="Y11" s="32" t="str">
        <x:v>textile-sample:ops-tx-010</x:v>
      </x:c>
      <x:c r="Z11" s="32" t="str"/>
      <x:c r="AA11" s="14" t="str"/>
      <x:c r="AB11" s="14" t="str"/>
      <x:c r="AC11" s="14" t="str"/>
      <x:c r="AD11" s="14" t="str">
        <x:v>wave-1-polartec-cordura</x:v>
      </x:c>
    </x:row>
    <x:row r="12">
      <x:c r="A12" s="32" t="str">
        <x:v>OPS-TX-011</x:v>
      </x:c>
      <x:c r="B12" s="32" t="str">
        <x:v>Polartec</x:v>
      </x:c>
      <x:c r="C12" s="32" t="str">
        <x:v>Fleece 300 Series</x:v>
      </x:c>
      <x:c r="D12" s="32" t="str">
        <x:v>malha_trama</x:v>
      </x:c>
      <x:c r="E12" s="32" t="str">
        <x:v>fleece pesado</x:v>
      </x:c>
      <x:c r="F12" s="32" t="str">
        <x:v>Página técnica oficial; alguns produtos citam método/resultado de ensaio</x:v>
      </x:c>
      <x:c r="G12" s="32" t="str">
        <x:v>https://www.polartec.com/fabrics</x:v>
      </x:c>
      <x:c r="H12" s="32" t="str">
        <x:v>Alta</x:v>
      </x:c>
      <x:c r="I12" s="32" t="str">
        <x:v>Internacional</x:v>
      </x:c>
      <x:c r="J12" s="32" t="str">
        <x:v>Solicitar amostra ao fabricante/distribuidor</x:v>
      </x:c>
      <x:c r="K12" s="32" t="str">
        <x:v>A solicitar</x:v>
      </x:c>
      <x:c r="L12" s="32" t="str">
        <x:v>Referência localizada</x:v>
      </x:c>
      <x:c r="M12" s="32" t="str">
        <x:v>Candidata</x:v>
      </x:c>
      <x:c r="N12" s="32" t="str">
        <x:v>Operations</x:v>
      </x:c>
      <x:c r="O12" s="32" t="n">
        <x:v>1</x:v>
      </x:c>
      <x:c r="P12" s="32"/>
      <x:c r="Q12" s="32" t="str"/>
      <x:c r="R12" s="32" t="str"/>
      <x:c r="S12" s="32" t="str">
        <x:v>Não revisada</x:v>
      </x:c>
      <x:c r="T12" s="32" t="str">
        <x:v>Confirmar ficha técnica/ensaio e código exato antes da aceitação.</x:v>
      </x:c>
      <x:c r="U12" s="32" t="str">
        <x:v>dimension-revision:structure.family:v0.3</x:v>
      </x:c>
      <x:c r="V12" s="32" t="str">
        <x:v>concept-revision:structure.family.weft_knit:v0.3</x:v>
      </x:c>
      <x:c r="W12" s="32" t="str">
        <x:v>concept-revision:patterning.surface_multilayer.fleece:v0.3</x:v>
      </x:c>
      <x:c r="X12" s="32" t="str">
        <x:v>lead_only_not_asserted</x:v>
      </x:c>
      <x:c r="Y12" s="32" t="str">
        <x:v>textile-sample:ops-tx-011</x:v>
      </x:c>
      <x:c r="Z12" s="32" t="str"/>
      <x:c r="AA12" s="14" t="str"/>
      <x:c r="AB12" s="14" t="str"/>
      <x:c r="AC12" s="14" t="str"/>
      <x:c r="AD12" s="14" t="str">
        <x:v>wave-1-polartec-cordura</x:v>
      </x:c>
    </x:row>
    <x:row r="13">
      <x:c r="A13" s="32" t="str">
        <x:v>OPS-TX-012</x:v>
      </x:c>
      <x:c r="B13" s="32" t="str">
        <x:v>Polartec</x:v>
      </x:c>
      <x:c r="C13" s="32" t="str">
        <x:v>High Loft</x:v>
      </x:c>
      <x:c r="D13" s="32" t="str">
        <x:v>malha_trama</x:v>
      </x:c>
      <x:c r="E13" s="32" t="str">
        <x:v>fleece de pelo alto</x:v>
      </x:c>
      <x:c r="F13" s="32" t="str">
        <x:v>Página técnica oficial; alguns produtos citam método/resultado de ensaio</x:v>
      </x:c>
      <x:c r="G13" s="32" t="str">
        <x:v>https://www.polartec.com/fabrics</x:v>
      </x:c>
      <x:c r="H13" s="32" t="str">
        <x:v>Alta</x:v>
      </x:c>
      <x:c r="I13" s="32" t="str">
        <x:v>Internacional</x:v>
      </x:c>
      <x:c r="J13" s="32" t="str">
        <x:v>Solicitar amostra ao fabricante/distribuidor</x:v>
      </x:c>
      <x:c r="K13" s="32" t="str">
        <x:v>A solicitar</x:v>
      </x:c>
      <x:c r="L13" s="32" t="str">
        <x:v>Referência localizada</x:v>
      </x:c>
      <x:c r="M13" s="32" t="str">
        <x:v>Candidata</x:v>
      </x:c>
      <x:c r="N13" s="32" t="str">
        <x:v>Operations</x:v>
      </x:c>
      <x:c r="O13" s="32" t="n">
        <x:v>1</x:v>
      </x:c>
      <x:c r="P13" s="32"/>
      <x:c r="Q13" s="32" t="str"/>
      <x:c r="R13" s="32" t="str"/>
      <x:c r="S13" s="32" t="str">
        <x:v>Não revisada</x:v>
      </x:c>
      <x:c r="T13" s="32" t="str">
        <x:v>Confirmar ficha técnica/ensaio e código exato antes da aceitação.</x:v>
      </x:c>
      <x:c r="U13" s="32" t="str">
        <x:v>dimension-revision:structure.family:v0.3</x:v>
      </x:c>
      <x:c r="V13" s="32" t="str">
        <x:v>concept-revision:structure.family.weft_knit:v0.3</x:v>
      </x:c>
      <x:c r="W13" s="32" t="str">
        <x:v>concept-revision:patterning.surface_multilayer.fleece:v0.3</x:v>
      </x:c>
      <x:c r="X13" s="32" t="str">
        <x:v>lead_only_not_asserted</x:v>
      </x:c>
      <x:c r="Y13" s="32" t="str">
        <x:v>textile-sample:ops-tx-012</x:v>
      </x:c>
      <x:c r="Z13" s="32" t="str"/>
      <x:c r="AA13" s="14" t="str"/>
      <x:c r="AB13" s="14" t="str"/>
      <x:c r="AC13" s="14" t="str"/>
      <x:c r="AD13" s="14" t="str">
        <x:v>wave-1-polartec-cordura</x:v>
      </x:c>
    </x:row>
    <x:row r="14">
      <x:c r="A14" s="32" t="str">
        <x:v>OPS-TX-013</x:v>
      </x:c>
      <x:c r="B14" s="32" t="str">
        <x:v>Polartec</x:v>
      </x:c>
      <x:c r="C14" s="32" t="str">
        <x:v>Power Air</x:v>
      </x:c>
      <x:c r="D14" s="32" t="str">
        <x:v>malha_trama</x:v>
      </x:c>
      <x:c r="E14" s="32" t="str">
        <x:v>malha de isolamento encapsulado</x:v>
      </x:c>
      <x:c r="F14" s="32" t="str">
        <x:v>Página técnica oficial; alguns produtos citam método/resultado de ensaio</x:v>
      </x:c>
      <x:c r="G14" s="32" t="str">
        <x:v>https://www.polartec.com/fabrics</x:v>
      </x:c>
      <x:c r="H14" s="32" t="str">
        <x:v>Alta</x:v>
      </x:c>
      <x:c r="I14" s="32" t="str">
        <x:v>Internacional</x:v>
      </x:c>
      <x:c r="J14" s="32" t="str">
        <x:v>Solicitar amostra ao fabricante/distribuidor</x:v>
      </x:c>
      <x:c r="K14" s="32" t="str">
        <x:v>A solicitar</x:v>
      </x:c>
      <x:c r="L14" s="32" t="str">
        <x:v>Referência localizada</x:v>
      </x:c>
      <x:c r="M14" s="32" t="str">
        <x:v>Candidata</x:v>
      </x:c>
      <x:c r="N14" s="32" t="str">
        <x:v>Operations</x:v>
      </x:c>
      <x:c r="O14" s="32" t="n">
        <x:v>1</x:v>
      </x:c>
      <x:c r="P14" s="32"/>
      <x:c r="Q14" s="32" t="str"/>
      <x:c r="R14" s="32" t="str"/>
      <x:c r="S14" s="32" t="str">
        <x:v>Não revisada</x:v>
      </x:c>
      <x:c r="T14" s="32" t="str">
        <x:v>Confirmar ficha técnica/ensaio e código exato antes da aceitação.</x:v>
      </x:c>
      <x:c r="U14" s="32" t="str">
        <x:v>dimension-revision:structure.family:v0.3</x:v>
      </x:c>
      <x:c r="V14" s="32" t="str">
        <x:v>concept-revision:structure.family.weft_knit:v0.3</x:v>
      </x:c>
      <x:c r="W14" s="32" t="str"/>
      <x:c r="X14" s="32" t="str">
        <x:v>lead_only_not_asserted</x:v>
      </x:c>
      <x:c r="Y14" s="32" t="str">
        <x:v>textile-sample:ops-tx-013</x:v>
      </x:c>
      <x:c r="Z14" s="32" t="str"/>
      <x:c r="AA14" s="14" t="str"/>
      <x:c r="AB14" s="14" t="str"/>
      <x:c r="AC14" s="14" t="str"/>
      <x:c r="AD14" s="14" t="str">
        <x:v>wave-1-polartec-cordura</x:v>
      </x:c>
    </x:row>
    <x:row r="15">
      <x:c r="A15" s="32" t="str">
        <x:v>OPS-TX-014</x:v>
      </x:c>
      <x:c r="B15" s="32" t="str">
        <x:v>Polartec</x:v>
      </x:c>
      <x:c r="C15" s="32" t="str">
        <x:v>Thermal Pro</x:v>
      </x:c>
      <x:c r="D15" s="32" t="str">
        <x:v>malha_trama</x:v>
      </x:c>
      <x:c r="E15" s="32" t="str">
        <x:v>fleece térmico</x:v>
      </x:c>
      <x:c r="F15" s="32" t="str">
        <x:v>Página técnica oficial; alguns produtos citam método/resultado de ensaio</x:v>
      </x:c>
      <x:c r="G15" s="32" t="str">
        <x:v>https://www.polartec.com/fabrics</x:v>
      </x:c>
      <x:c r="H15" s="32" t="str">
        <x:v>Alta</x:v>
      </x:c>
      <x:c r="I15" s="32" t="str">
        <x:v>Internacional</x:v>
      </x:c>
      <x:c r="J15" s="32" t="str">
        <x:v>Solicitar amostra ao fabricante/distribuidor</x:v>
      </x:c>
      <x:c r="K15" s="32" t="str">
        <x:v>A solicitar</x:v>
      </x:c>
      <x:c r="L15" s="32" t="str">
        <x:v>Referência localizada</x:v>
      </x:c>
      <x:c r="M15" s="32" t="str">
        <x:v>Candidata</x:v>
      </x:c>
      <x:c r="N15" s="32" t="str">
        <x:v>Operations</x:v>
      </x:c>
      <x:c r="O15" s="32" t="n">
        <x:v>1</x:v>
      </x:c>
      <x:c r="P15" s="32"/>
      <x:c r="Q15" s="32" t="str"/>
      <x:c r="R15" s="32" t="str"/>
      <x:c r="S15" s="32" t="str">
        <x:v>Não revisada</x:v>
      </x:c>
      <x:c r="T15" s="32" t="str">
        <x:v>Confirmar ficha técnica/ensaio e código exato antes da aceitação.</x:v>
      </x:c>
      <x:c r="U15" s="32" t="str">
        <x:v>dimension-revision:structure.family:v0.3</x:v>
      </x:c>
      <x:c r="V15" s="32" t="str">
        <x:v>concept-revision:structure.family.weft_knit:v0.3</x:v>
      </x:c>
      <x:c r="W15" s="32" t="str">
        <x:v>concept-revision:patterning.surface_multilayer.fleece:v0.3</x:v>
      </x:c>
      <x:c r="X15" s="32" t="str">
        <x:v>lead_only_not_asserted</x:v>
      </x:c>
      <x:c r="Y15" s="32" t="str">
        <x:v>textile-sample:ops-tx-014</x:v>
      </x:c>
      <x:c r="Z15" s="32" t="str"/>
      <x:c r="AA15" s="14" t="str"/>
      <x:c r="AB15" s="14" t="str"/>
      <x:c r="AC15" s="14" t="str"/>
      <x:c r="AD15" s="14" t="str">
        <x:v>wave-1-polartec-cordura</x:v>
      </x:c>
    </x:row>
    <x:row r="16">
      <x:c r="A16" s="32" t="str">
        <x:v>OPS-TX-015</x:v>
      </x:c>
      <x:c r="B16" s="32" t="str">
        <x:v>Polartec</x:v>
      </x:c>
      <x:c r="C16" s="32" t="str">
        <x:v>Wind Pro</x:v>
      </x:c>
      <x:c r="D16" s="32" t="str">
        <x:v>malha_trama</x:v>
      </x:c>
      <x:c r="E16" s="32" t="str">
        <x:v>fleece de construção fechada</x:v>
      </x:c>
      <x:c r="F16" s="32" t="str">
        <x:v>Página técnica oficial; alguns produtos citam método/resultado de ensaio</x:v>
      </x:c>
      <x:c r="G16" s="32" t="str">
        <x:v>https://www.polartec.com/fabrics</x:v>
      </x:c>
      <x:c r="H16" s="32" t="str">
        <x:v>Alta</x:v>
      </x:c>
      <x:c r="I16" s="32" t="str">
        <x:v>Internacional</x:v>
      </x:c>
      <x:c r="J16" s="32" t="str">
        <x:v>Solicitar amostra ao fabricante/distribuidor</x:v>
      </x:c>
      <x:c r="K16" s="32" t="str">
        <x:v>A solicitar</x:v>
      </x:c>
      <x:c r="L16" s="32" t="str">
        <x:v>Referência localizada</x:v>
      </x:c>
      <x:c r="M16" s="32" t="str">
        <x:v>Candidata</x:v>
      </x:c>
      <x:c r="N16" s="32" t="str">
        <x:v>Operations</x:v>
      </x:c>
      <x:c r="O16" s="32" t="n">
        <x:v>1</x:v>
      </x:c>
      <x:c r="P16" s="32"/>
      <x:c r="Q16" s="32" t="str"/>
      <x:c r="R16" s="32" t="str"/>
      <x:c r="S16" s="32" t="str">
        <x:v>Não revisada</x:v>
      </x:c>
      <x:c r="T16" s="32" t="str">
        <x:v>Confirmar ficha técnica/ensaio e código exato antes da aceitação.</x:v>
      </x:c>
      <x:c r="U16" s="32" t="str">
        <x:v>dimension-revision:structure.family:v0.3</x:v>
      </x:c>
      <x:c r="V16" s="32" t="str">
        <x:v>concept-revision:structure.family.weft_knit:v0.3</x:v>
      </x:c>
      <x:c r="W16" s="32" t="str">
        <x:v>concept-revision:patterning.surface_multilayer.fleece:v0.3</x:v>
      </x:c>
      <x:c r="X16" s="32" t="str">
        <x:v>lead_only_not_asserted</x:v>
      </x:c>
      <x:c r="Y16" s="32" t="str">
        <x:v>textile-sample:ops-tx-015</x:v>
      </x:c>
      <x:c r="Z16" s="32" t="str"/>
      <x:c r="AA16" s="14" t="str"/>
      <x:c r="AB16" s="14" t="str"/>
      <x:c r="AC16" s="14" t="str"/>
      <x:c r="AD16" s="14" t="str">
        <x:v>wave-1-polartec-cordura</x:v>
      </x:c>
    </x:row>
    <x:row r="17">
      <x:c r="A17" s="32" t="str">
        <x:v>OPS-TX-016</x:v>
      </x:c>
      <x:c r="B17" s="32" t="str">
        <x:v>Polartec</x:v>
      </x:c>
      <x:c r="C17" s="32" t="str">
        <x:v>AirCore</x:v>
      </x:c>
      <x:c r="D17" s="32" t="str">
        <x:v>estrutura_composta</x:v>
      </x:c>
      <x:c r="E17" s="32" t="str">
        <x:v>têxtil com membrana nanofibrosa</x:v>
      </x:c>
      <x:c r="F17" s="32" t="str">
        <x:v>Página técnica oficial; alguns produtos citam método/resultado de ensaio</x:v>
      </x:c>
      <x:c r="G17" s="32" t="str">
        <x:v>https://www.polartec.com/fabrics</x:v>
      </x:c>
      <x:c r="H17" s="32" t="str">
        <x:v>Alta</x:v>
      </x:c>
      <x:c r="I17" s="32" t="str">
        <x:v>Internacional</x:v>
      </x:c>
      <x:c r="J17" s="32" t="str">
        <x:v>Solicitar amostra ao fabricante/distribuidor</x:v>
      </x:c>
      <x:c r="K17" s="32" t="str">
        <x:v>A solicitar</x:v>
      </x:c>
      <x:c r="L17" s="32" t="str">
        <x:v>Referência localizada</x:v>
      </x:c>
      <x:c r="M17" s="32" t="str">
        <x:v>Candidata</x:v>
      </x:c>
      <x:c r="N17" s="32" t="str">
        <x:v>Operations</x:v>
      </x:c>
      <x:c r="O17" s="32" t="n">
        <x:v>1</x:v>
      </x:c>
      <x:c r="P17" s="32"/>
      <x:c r="Q17" s="32" t="str"/>
      <x:c r="R17" s="32" t="str"/>
      <x:c r="S17" s="32" t="str">
        <x:v>Não revisada</x:v>
      </x:c>
      <x:c r="T17" s="32" t="str">
        <x:v>Confirmar ficha técnica/ensaio e código exato antes da aceitação.</x:v>
      </x:c>
      <x:c r="U17" s="32" t="str">
        <x:v>dimension-revision:structure.family:v0.3</x:v>
      </x:c>
      <x:c r="V17" s="32" t="str">
        <x:v>concept-revision:structure.family.composite_structure:v0.3</x:v>
      </x:c>
      <x:c r="W17" s="32" t="str">
        <x:v>concept-revision:composite.type.with_membrane:v0.3</x:v>
      </x:c>
      <x:c r="X17" s="32" t="str">
        <x:v>lead_only_not_asserted</x:v>
      </x:c>
      <x:c r="Y17" s="32" t="str">
        <x:v>textile-sample:ops-tx-016</x:v>
      </x:c>
      <x:c r="Z17" s="32" t="str"/>
      <x:c r="AA17" s="14" t="str"/>
      <x:c r="AB17" s="14" t="str"/>
      <x:c r="AC17" s="14" t="str"/>
      <x:c r="AD17" s="14" t="str">
        <x:v>wave-1-polartec-cordura</x:v>
      </x:c>
    </x:row>
    <x:row r="18">
      <x:c r="A18" s="32" t="str">
        <x:v>OPS-TX-017</x:v>
      </x:c>
      <x:c r="B18" s="32" t="str">
        <x:v>Polartec</x:v>
      </x:c>
      <x:c r="C18" s="32" t="str">
        <x:v>Windbloc</x:v>
      </x:c>
      <x:c r="D18" s="32" t="str">
        <x:v>estrutura_composta</x:v>
      </x:c>
      <x:c r="E18" s="32" t="str">
        <x:v>malha/tecido com membrana PU</x:v>
      </x:c>
      <x:c r="F18" s="32" t="str">
        <x:v>Página técnica oficial; alguns produtos citam método/resultado de ensaio</x:v>
      </x:c>
      <x:c r="G18" s="32" t="str">
        <x:v>https://www.polartec.com/fabrics</x:v>
      </x:c>
      <x:c r="H18" s="32" t="str">
        <x:v>Alta</x:v>
      </x:c>
      <x:c r="I18" s="32" t="str">
        <x:v>Internacional</x:v>
      </x:c>
      <x:c r="J18" s="32" t="str">
        <x:v>Solicitar amostra ao fabricante/distribuidor</x:v>
      </x:c>
      <x:c r="K18" s="32" t="str">
        <x:v>A solicitar</x:v>
      </x:c>
      <x:c r="L18" s="32" t="str">
        <x:v>Referência localizada</x:v>
      </x:c>
      <x:c r="M18" s="32" t="str">
        <x:v>Candidata</x:v>
      </x:c>
      <x:c r="N18" s="32" t="str">
        <x:v>Operations</x:v>
      </x:c>
      <x:c r="O18" s="32" t="n">
        <x:v>1</x:v>
      </x:c>
      <x:c r="P18" s="32"/>
      <x:c r="Q18" s="32" t="str"/>
      <x:c r="R18" s="32" t="str"/>
      <x:c r="S18" s="32" t="str">
        <x:v>Não revisada</x:v>
      </x:c>
      <x:c r="T18" s="32" t="str">
        <x:v>Confirmar ficha técnica/ensaio e código exato antes da aceitação.</x:v>
      </x:c>
      <x:c r="U18" s="32" t="str">
        <x:v>dimension-revision:structure.family:v0.3</x:v>
      </x:c>
      <x:c r="V18" s="32" t="str">
        <x:v>concept-revision:structure.family.composite_structure:v0.3</x:v>
      </x:c>
      <x:c r="W18" s="32" t="str">
        <x:v>concept-revision:composite.type.with_membrane:v0.3</x:v>
      </x:c>
      <x:c r="X18" s="32" t="str">
        <x:v>lead_only_not_asserted</x:v>
      </x:c>
      <x:c r="Y18" s="32" t="str">
        <x:v>textile-sample:ops-tx-017</x:v>
      </x:c>
      <x:c r="Z18" s="32" t="str"/>
      <x:c r="AA18" s="14" t="str"/>
      <x:c r="AB18" s="14" t="str"/>
      <x:c r="AC18" s="14" t="str"/>
      <x:c r="AD18" s="14" t="str">
        <x:v>wave-1-polartec-cordura</x:v>
      </x:c>
    </x:row>
    <x:row r="19">
      <x:c r="A19" s="32" t="str">
        <x:v>OPS-TX-018</x:v>
      </x:c>
      <x:c r="B19" s="32" t="str">
        <x:v>Polartec</x:v>
      </x:c>
      <x:c r="C19" s="32" t="str">
        <x:v>Power Shield Pro</x:v>
      </x:c>
      <x:c r="D19" s="32" t="str">
        <x:v>estrutura_composta</x:v>
      </x:c>
      <x:c r="E19" s="32" t="str">
        <x:v>laminado impermeável respirável</x:v>
      </x:c>
      <x:c r="F19" s="32" t="str">
        <x:v>Página técnica oficial; alguns produtos citam método/resultado de ensaio</x:v>
      </x:c>
      <x:c r="G19" s="32" t="str">
        <x:v>https://www.polartec.com/fabrics</x:v>
      </x:c>
      <x:c r="H19" s="32" t="str">
        <x:v>Alta</x:v>
      </x:c>
      <x:c r="I19" s="32" t="str">
        <x:v>Internacional</x:v>
      </x:c>
      <x:c r="J19" s="32" t="str">
        <x:v>Solicitar amostra ao fabricante/distribuidor</x:v>
      </x:c>
      <x:c r="K19" s="32" t="str">
        <x:v>A solicitar</x:v>
      </x:c>
      <x:c r="L19" s="32" t="str">
        <x:v>Referência localizada</x:v>
      </x:c>
      <x:c r="M19" s="32" t="str">
        <x:v>Candidata</x:v>
      </x:c>
      <x:c r="N19" s="32" t="str">
        <x:v>Operations</x:v>
      </x:c>
      <x:c r="O19" s="32" t="n">
        <x:v>1</x:v>
      </x:c>
      <x:c r="P19" s="32"/>
      <x:c r="Q19" s="32" t="str"/>
      <x:c r="R19" s="32" t="str"/>
      <x:c r="S19" s="32" t="str">
        <x:v>Não revisada</x:v>
      </x:c>
      <x:c r="T19" s="32" t="str">
        <x:v>Confirmar ficha técnica/ensaio e código exato antes da aceitação.</x:v>
      </x:c>
      <x:c r="U19" s="32" t="str">
        <x:v>dimension-revision:structure.family:v0.3</x:v>
      </x:c>
      <x:c r="V19" s="32" t="str">
        <x:v>concept-revision:structure.family.composite_structure:v0.3</x:v>
      </x:c>
      <x:c r="W19" s="32" t="str">
        <x:v>concept-revision:composite.type.laminated:v0.3</x:v>
      </x:c>
      <x:c r="X19" s="32" t="str">
        <x:v>lead_only_not_asserted</x:v>
      </x:c>
      <x:c r="Y19" s="32" t="str">
        <x:v>textile-sample:ops-tx-018</x:v>
      </x:c>
      <x:c r="Z19" s="32" t="str"/>
      <x:c r="AA19" s="14" t="str"/>
      <x:c r="AB19" s="14" t="str"/>
      <x:c r="AC19" s="14" t="str"/>
      <x:c r="AD19" s="14" t="str">
        <x:v>wave-1-polartec-cordura</x:v>
      </x:c>
    </x:row>
    <x:row r="20">
      <x:c r="A20" s="32" t="str">
        <x:v>OPS-TX-019</x:v>
      </x:c>
      <x:c r="B20" s="32" t="str">
        <x:v>Polartec</x:v>
      </x:c>
      <x:c r="C20" s="32" t="str">
        <x:v>Power Shield RPM</x:v>
      </x:c>
      <x:c r="D20" s="32" t="str">
        <x:v>estrutura_composta</x:v>
      </x:c>
      <x:c r="E20" s="32" t="str">
        <x:v>laminado elástico impermeável</x:v>
      </x:c>
      <x:c r="F20" s="32" t="str">
        <x:v>Página técnica oficial; alguns produtos citam método/resultado de ensaio</x:v>
      </x:c>
      <x:c r="G20" s="32" t="str">
        <x:v>https://www.polartec.com/fabrics</x:v>
      </x:c>
      <x:c r="H20" s="32" t="str">
        <x:v>Alta</x:v>
      </x:c>
      <x:c r="I20" s="32" t="str">
        <x:v>Internacional</x:v>
      </x:c>
      <x:c r="J20" s="32" t="str">
        <x:v>Solicitar amostra ao fabricante/distribuidor</x:v>
      </x:c>
      <x:c r="K20" s="32" t="str">
        <x:v>A solicitar</x:v>
      </x:c>
      <x:c r="L20" s="32" t="str">
        <x:v>Referência localizada</x:v>
      </x:c>
      <x:c r="M20" s="32" t="str">
        <x:v>Candidata</x:v>
      </x:c>
      <x:c r="N20" s="32" t="str">
        <x:v>Operations</x:v>
      </x:c>
      <x:c r="O20" s="32" t="n">
        <x:v>1</x:v>
      </x:c>
      <x:c r="P20" s="32"/>
      <x:c r="Q20" s="32" t="str"/>
      <x:c r="R20" s="32" t="str"/>
      <x:c r="S20" s="32" t="str">
        <x:v>Não revisada</x:v>
      </x:c>
      <x:c r="T20" s="32" t="str">
        <x:v>Confirmar ficha técnica/ensaio e código exato antes da aceitação.</x:v>
      </x:c>
      <x:c r="U20" s="32" t="str">
        <x:v>dimension-revision:structure.family:v0.3</x:v>
      </x:c>
      <x:c r="V20" s="32" t="str">
        <x:v>concept-revision:structure.family.composite_structure:v0.3</x:v>
      </x:c>
      <x:c r="W20" s="32" t="str">
        <x:v>concept-revision:composite.type.laminated:v0.3</x:v>
      </x:c>
      <x:c r="X20" s="32" t="str">
        <x:v>lead_only_not_asserted</x:v>
      </x:c>
      <x:c r="Y20" s="32" t="str">
        <x:v>textile-sample:ops-tx-019</x:v>
      </x:c>
      <x:c r="Z20" s="32" t="str"/>
      <x:c r="AA20" s="14" t="str"/>
      <x:c r="AB20" s="14" t="str"/>
      <x:c r="AC20" s="14" t="str"/>
      <x:c r="AD20" s="14" t="str">
        <x:v>wave-1-polartec-cordura</x:v>
      </x:c>
    </x:row>
    <x:row r="21">
      <x:c r="A21" s="32" t="str">
        <x:v>OPS-TX-020</x:v>
      </x:c>
      <x:c r="B21" s="32" t="str">
        <x:v>Polartec</x:v>
      </x:c>
      <x:c r="C21" s="32" t="str">
        <x:v>Power Dry FR</x:v>
      </x:c>
      <x:c r="D21" s="32" t="str">
        <x:v>malha_trama</x:v>
      </x:c>
      <x:c r="E21" s="32" t="str">
        <x:v>malha FR bi-componente</x:v>
      </x:c>
      <x:c r="F21" s="32" t="str">
        <x:v>Página técnica oficial; alguns produtos citam método/resultado de ensaio</x:v>
      </x:c>
      <x:c r="G21" s="32" t="str">
        <x:v>https://www.polartec.com/fabrics</x:v>
      </x:c>
      <x:c r="H21" s="32" t="str">
        <x:v>Alta</x:v>
      </x:c>
      <x:c r="I21" s="32" t="str">
        <x:v>Internacional</x:v>
      </x:c>
      <x:c r="J21" s="32" t="str">
        <x:v>Solicitar amostra ao fabricante/distribuidor</x:v>
      </x:c>
      <x:c r="K21" s="32" t="str">
        <x:v>A solicitar</x:v>
      </x:c>
      <x:c r="L21" s="32" t="str">
        <x:v>Referência localizada</x:v>
      </x:c>
      <x:c r="M21" s="32" t="str">
        <x:v>Candidata</x:v>
      </x:c>
      <x:c r="N21" s="32" t="str">
        <x:v>Operations</x:v>
      </x:c>
      <x:c r="O21" s="32" t="n">
        <x:v>1</x:v>
      </x:c>
      <x:c r="P21" s="32"/>
      <x:c r="Q21" s="32" t="str"/>
      <x:c r="R21" s="32" t="str"/>
      <x:c r="S21" s="32" t="str">
        <x:v>Não revisada</x:v>
      </x:c>
      <x:c r="T21" s="32" t="str">
        <x:v>Confirmar ficha técnica/ensaio e código exato antes da aceitação.</x:v>
      </x:c>
      <x:c r="U21" s="32" t="str">
        <x:v>dimension-revision:structure.family:v0.3</x:v>
      </x:c>
      <x:c r="V21" s="32" t="str">
        <x:v>concept-revision:structure.family.weft_knit:v0.3</x:v>
      </x:c>
      <x:c r="W21" s="32" t="str"/>
      <x:c r="X21" s="32" t="str">
        <x:v>lead_only_not_asserted</x:v>
      </x:c>
      <x:c r="Y21" s="32" t="str">
        <x:v>textile-sample:ops-tx-020</x:v>
      </x:c>
      <x:c r="Z21" s="32" t="str"/>
      <x:c r="AA21" s="14" t="str"/>
      <x:c r="AB21" s="14" t="str"/>
      <x:c r="AC21" s="14" t="str"/>
      <x:c r="AD21" s="14" t="str">
        <x:v>wave-1-polartec-cordura</x:v>
      </x:c>
    </x:row>
    <x:row r="22">
      <x:c r="A22" s="32" t="str">
        <x:v>OPS-TX-021</x:v>
      </x:c>
      <x:c r="B22" s="32" t="str">
        <x:v>CORDURA / INVISTA</x:v>
      </x:c>
      <x:c r="C22" s="32" t="str">
        <x:v>AFT Fabric</x:v>
      </x:c>
      <x:c r="D22" s="32" t="str">
        <x:v>entrelacado_trancado</x:v>
      </x:c>
      <x:c r="E22" s="32" t="str">
        <x:v>mesh técnico</x:v>
      </x:c>
      <x:c r="F22" s="32" t="str">
        <x:v>Página técnica oficial e acesso a especificações/sales sheet via Fabric Finder</x:v>
      </x:c>
      <x:c r="G22" s="32" t="str">
        <x:v>https://cordura.com/find-your-match</x:v>
      </x:c>
      <x:c r="H22" s="32" t="str">
        <x:v>Alta</x:v>
      </x:c>
      <x:c r="I22" s="32" t="str">
        <x:v>Internacional</x:v>
      </x:c>
      <x:c r="J22" s="32" t="str">
        <x:v>Solicitar amostra ao fabricante/distribuidor</x:v>
      </x:c>
      <x:c r="K22" s="32" t="str">
        <x:v>A solicitar</x:v>
      </x:c>
      <x:c r="L22" s="32" t="str">
        <x:v>Referência localizada</x:v>
      </x:c>
      <x:c r="M22" s="32" t="str">
        <x:v>Candidata</x:v>
      </x:c>
      <x:c r="N22" s="32" t="str">
        <x:v>Operations</x:v>
      </x:c>
      <x:c r="O22" s="32" t="n">
        <x:v>1</x:v>
      </x:c>
      <x:c r="P22" s="32"/>
      <x:c r="Q22" s="32" t="str"/>
      <x:c r="R22" s="32" t="str"/>
      <x:c r="S22" s="32" t="str">
        <x:v>Não revisada</x:v>
      </x:c>
      <x:c r="T22" s="32" t="str">
        <x:v>Confirmar ficha técnica/ensaio e código exato antes da aceitação.</x:v>
      </x:c>
      <x:c r="U22" s="32" t="str">
        <x:v>dimension-revision:structure.family:v0.3</x:v>
      </x:c>
      <x:c r="V22" s="32" t="str">
        <x:v>concept-revision:structure.family.interlaced_braided:v0.3</x:v>
      </x:c>
      <x:c r="W22" s="32" t="str"/>
      <x:c r="X22" s="32" t="str">
        <x:v>lead_only_not_asserted</x:v>
      </x:c>
      <x:c r="Y22" s="32" t="str">
        <x:v>textile-sample:ops-tx-021</x:v>
      </x:c>
      <x:c r="Z22" s="32" t="str"/>
      <x:c r="AA22" s="14" t="str"/>
      <x:c r="AB22" s="14" t="str"/>
      <x:c r="AC22" s="14" t="str"/>
      <x:c r="AD22" s="14" t="str">
        <x:v>wave-1-polartec-cordura</x:v>
      </x:c>
    </x:row>
    <x:row r="23">
      <x:c r="A23" s="32" t="str">
        <x:v>OPS-TX-022</x:v>
      </x:c>
      <x:c r="B23" s="32" t="str">
        <x:v>CORDURA / INVISTA</x:v>
      </x:c>
      <x:c r="C23" s="32" t="str">
        <x:v>Ballistic Fabric</x:v>
      </x:c>
      <x:c r="D23" s="32" t="str">
        <x:v>tecido_plano</x:v>
      </x:c>
      <x:c r="E23" s="32" t="str">
        <x:v>tecido plano nylon de alta tenacidade</x:v>
      </x:c>
      <x:c r="F23" s="32" t="str">
        <x:v>Página técnica oficial e acesso a especificações/sales sheet via Fabric Finder</x:v>
      </x:c>
      <x:c r="G23" s="32" t="str">
        <x:v>https://cordura.com/find-your-match</x:v>
      </x:c>
      <x:c r="H23" s="32" t="str">
        <x:v>Alta</x:v>
      </x:c>
      <x:c r="I23" s="32" t="str">
        <x:v>Internacional</x:v>
      </x:c>
      <x:c r="J23" s="32" t="str">
        <x:v>Solicitar amostra ao fabricante/distribuidor</x:v>
      </x:c>
      <x:c r="K23" s="32" t="str">
        <x:v>A solicitar</x:v>
      </x:c>
      <x:c r="L23" s="32" t="str">
        <x:v>Referência localizada</x:v>
      </x:c>
      <x:c r="M23" s="32" t="str">
        <x:v>Candidata</x:v>
      </x:c>
      <x:c r="N23" s="32" t="str">
        <x:v>Operations</x:v>
      </x:c>
      <x:c r="O23" s="32" t="n">
        <x:v>1</x:v>
      </x:c>
      <x:c r="P23" s="32"/>
      <x:c r="Q23" s="32" t="str"/>
      <x:c r="R23" s="32" t="str"/>
      <x:c r="S23" s="32" t="str">
        <x:v>Não revisada</x:v>
      </x:c>
      <x:c r="T23" s="32" t="str">
        <x:v>Confirmar ficha técnica/ensaio e código exato antes da aceitação.</x:v>
      </x:c>
      <x:c r="U23" s="32" t="str">
        <x:v>dimension-revision:structure.family:v0.3</x:v>
      </x:c>
      <x:c r="V23" s="32" t="str">
        <x:v>concept-revision:structure.family.woven_fabric:v0.3</x:v>
      </x:c>
      <x:c r="W23" s="32" t="str"/>
      <x:c r="X23" s="32" t="str">
        <x:v>lead_only_not_asserted</x:v>
      </x:c>
      <x:c r="Y23" s="32" t="str">
        <x:v>textile-sample:ops-tx-022</x:v>
      </x:c>
      <x:c r="Z23" s="32" t="str"/>
      <x:c r="AA23" s="14" t="str"/>
      <x:c r="AB23" s="14" t="str"/>
      <x:c r="AC23" s="14" t="str"/>
      <x:c r="AD23" s="14" t="str">
        <x:v>wave-1-polartec-cordura</x:v>
      </x:c>
    </x:row>
    <x:row r="24">
      <x:c r="A24" s="32" t="str">
        <x:v>OPS-TX-023</x:v>
      </x:c>
      <x:c r="B24" s="32" t="str">
        <x:v>CORDURA / INVISTA</x:v>
      </x:c>
      <x:c r="C24" s="32" t="str">
        <x:v>Classic Fabric 500D</x:v>
      </x:c>
      <x:c r="D24" s="32" t="str">
        <x:v>tecido_plano</x:v>
      </x:c>
      <x:c r="E24" s="32" t="str">
        <x:v>tecido plano fio texturizado</x:v>
      </x:c>
      <x:c r="F24" s="32" t="str">
        <x:v>Página técnica oficial e acesso a especificações/sales sheet via Fabric Finder</x:v>
      </x:c>
      <x:c r="G24" s="32" t="str">
        <x:v>https://cordura.com/find-your-match</x:v>
      </x:c>
      <x:c r="H24" s="32" t="str">
        <x:v>Alta</x:v>
      </x:c>
      <x:c r="I24" s="32" t="str">
        <x:v>Internacional</x:v>
      </x:c>
      <x:c r="J24" s="32" t="str">
        <x:v>Solicitar amostra ao fabricante/distribuidor</x:v>
      </x:c>
      <x:c r="K24" s="32" t="str">
        <x:v>A solicitar</x:v>
      </x:c>
      <x:c r="L24" s="32" t="str">
        <x:v>Referência localizada</x:v>
      </x:c>
      <x:c r="M24" s="32" t="str">
        <x:v>Candidata</x:v>
      </x:c>
      <x:c r="N24" s="32" t="str">
        <x:v>Operations</x:v>
      </x:c>
      <x:c r="O24" s="32" t="n">
        <x:v>1</x:v>
      </x:c>
      <x:c r="P24" s="32"/>
      <x:c r="Q24" s="32" t="str"/>
      <x:c r="R24" s="32" t="str"/>
      <x:c r="S24" s="32" t="str">
        <x:v>Não revisada</x:v>
      </x:c>
      <x:c r="T24" s="32" t="str">
        <x:v>Confirmar ficha técnica/ensaio e código exato antes da aceitação.</x:v>
      </x:c>
      <x:c r="U24" s="32" t="str">
        <x:v>dimension-revision:structure.family:v0.3</x:v>
      </x:c>
      <x:c r="V24" s="32" t="str">
        <x:v>concept-revision:structure.family.woven_fabric:v0.3</x:v>
      </x:c>
      <x:c r="W24" s="32" t="str"/>
      <x:c r="X24" s="32" t="str">
        <x:v>lead_only_not_asserted</x:v>
      </x:c>
      <x:c r="Y24" s="32" t="str">
        <x:v>textile-sample:ops-tx-023</x:v>
      </x:c>
      <x:c r="Z24" s="32" t="str"/>
      <x:c r="AA24" s="14" t="str"/>
      <x:c r="AB24" s="14" t="str"/>
      <x:c r="AC24" s="14" t="str"/>
      <x:c r="AD24" s="14" t="str">
        <x:v>wave-1-polartec-cordura</x:v>
      </x:c>
    </x:row>
    <x:row r="25">
      <x:c r="A25" s="32" t="str">
        <x:v>OPS-TX-024</x:v>
      </x:c>
      <x:c r="B25" s="32" t="str">
        <x:v>CORDURA / INVISTA</x:v>
      </x:c>
      <x:c r="C25" s="32" t="str">
        <x:v>Classic Fabric 1000D</x:v>
      </x:c>
      <x:c r="D25" s="32" t="str">
        <x:v>tecido_plano</x:v>
      </x:c>
      <x:c r="E25" s="32" t="str">
        <x:v>tecido plano fio texturizado</x:v>
      </x:c>
      <x:c r="F25" s="32" t="str">
        <x:v>Página técnica oficial e acesso a especificações/sales sheet via Fabric Finder</x:v>
      </x:c>
      <x:c r="G25" s="32" t="str">
        <x:v>https://cordura.com/find-your-match</x:v>
      </x:c>
      <x:c r="H25" s="32" t="str">
        <x:v>Alta</x:v>
      </x:c>
      <x:c r="I25" s="32" t="str">
        <x:v>Internacional</x:v>
      </x:c>
      <x:c r="J25" s="32" t="str">
        <x:v>Solicitar amostra ao fabricante/distribuidor</x:v>
      </x:c>
      <x:c r="K25" s="32" t="str">
        <x:v>A solicitar</x:v>
      </x:c>
      <x:c r="L25" s="32" t="str">
        <x:v>Referência localizada</x:v>
      </x:c>
      <x:c r="M25" s="32" t="str">
        <x:v>Candidata</x:v>
      </x:c>
      <x:c r="N25" s="32" t="str">
        <x:v>Operations</x:v>
      </x:c>
      <x:c r="O25" s="32" t="n">
        <x:v>1</x:v>
      </x:c>
      <x:c r="P25" s="32"/>
      <x:c r="Q25" s="32" t="str"/>
      <x:c r="R25" s="32" t="str"/>
      <x:c r="S25" s="32" t="str">
        <x:v>Não revisada</x:v>
      </x:c>
      <x:c r="T25" s="32" t="str">
        <x:v>Confirmar ficha técnica/ensaio e código exato antes da aceitação.</x:v>
      </x:c>
      <x:c r="U25" s="32" t="str">
        <x:v>dimension-revision:structure.family:v0.3</x:v>
      </x:c>
      <x:c r="V25" s="32" t="str">
        <x:v>concept-revision:structure.family.woven_fabric:v0.3</x:v>
      </x:c>
      <x:c r="W25" s="32" t="str"/>
      <x:c r="X25" s="32" t="str">
        <x:v>lead_only_not_asserted</x:v>
      </x:c>
      <x:c r="Y25" s="32" t="str">
        <x:v>textile-sample:ops-tx-024</x:v>
      </x:c>
      <x:c r="Z25" s="32" t="str"/>
      <x:c r="AA25" s="14" t="str"/>
      <x:c r="AB25" s="14" t="str"/>
      <x:c r="AC25" s="14" t="str"/>
      <x:c r="AD25" s="14" t="str">
        <x:v>wave-1-polartec-cordura</x:v>
      </x:c>
    </x:row>
    <x:row r="26">
      <x:c r="A26" s="32" t="str">
        <x:v>OPS-TX-025</x:v>
      </x:c>
      <x:c r="B26" s="32" t="str">
        <x:v>CORDURA / INVISTA</x:v>
      </x:c>
      <x:c r="C26" s="32" t="str">
        <x:v>Combat Wool Fabric</x:v>
      </x:c>
      <x:c r="D26" s="32" t="str">
        <x:v>tecido_plano</x:v>
      </x:c>
      <x:c r="E26" s="32" t="str">
        <x:v>tecido plano mistura lã/nylon</x:v>
      </x:c>
      <x:c r="F26" s="32" t="str">
        <x:v>Página técnica oficial e acesso a especificações/sales sheet via Fabric Finder</x:v>
      </x:c>
      <x:c r="G26" s="32" t="str">
        <x:v>https://cordura.com/find-your-match</x:v>
      </x:c>
      <x:c r="H26" s="32" t="str">
        <x:v>Alta</x:v>
      </x:c>
      <x:c r="I26" s="32" t="str">
        <x:v>Internacional</x:v>
      </x:c>
      <x:c r="J26" s="32" t="str">
        <x:v>Solicitar amostra ao fabricante/distribuidor</x:v>
      </x:c>
      <x:c r="K26" s="32" t="str">
        <x:v>A solicitar</x:v>
      </x:c>
      <x:c r="L26" s="32" t="str">
        <x:v>Referência localizada</x:v>
      </x:c>
      <x:c r="M26" s="32" t="str">
        <x:v>Candidata</x:v>
      </x:c>
      <x:c r="N26" s="32" t="str">
        <x:v>Operations</x:v>
      </x:c>
      <x:c r="O26" s="32" t="n">
        <x:v>1</x:v>
      </x:c>
      <x:c r="P26" s="32"/>
      <x:c r="Q26" s="32" t="str"/>
      <x:c r="R26" s="32" t="str"/>
      <x:c r="S26" s="32" t="str">
        <x:v>Não revisada</x:v>
      </x:c>
      <x:c r="T26" s="32" t="str">
        <x:v>Confirmar ficha técnica/ensaio e código exato antes da aceitação.</x:v>
      </x:c>
      <x:c r="U26" s="32" t="str">
        <x:v>dimension-revision:structure.family:v0.3</x:v>
      </x:c>
      <x:c r="V26" s="32" t="str">
        <x:v>concept-revision:structure.family.woven_fabric:v0.3</x:v>
      </x:c>
      <x:c r="W26" s="32" t="str"/>
      <x:c r="X26" s="32" t="str">
        <x:v>lead_only_not_asserted</x:v>
      </x:c>
      <x:c r="Y26" s="32" t="str">
        <x:v>textile-sample:ops-tx-025</x:v>
      </x:c>
      <x:c r="Z26" s="32" t="str"/>
      <x:c r="AA26" s="14" t="str"/>
      <x:c r="AB26" s="14" t="str"/>
      <x:c r="AC26" s="14" t="str"/>
      <x:c r="AD26" s="14" t="str">
        <x:v>wave-1-polartec-cordura</x:v>
      </x:c>
    </x:row>
    <x:row r="27">
      <x:c r="A27" s="32" t="str">
        <x:v>OPS-TX-026</x:v>
      </x:c>
      <x:c r="B27" s="32" t="str">
        <x:v>CORDURA / INVISTA</x:v>
      </x:c>
      <x:c r="C27" s="32" t="str">
        <x:v>Denim Fabric</x:v>
      </x:c>
      <x:c r="D27" s="32" t="str">
        <x:v>tecido_plano</x:v>
      </x:c>
      <x:c r="E27" s="32" t="str">
        <x:v>sarja/denim</x:v>
      </x:c>
      <x:c r="F27" s="32" t="str">
        <x:v>Página técnica oficial e acesso a especificações/sales sheet via Fabric Finder</x:v>
      </x:c>
      <x:c r="G27" s="32" t="str">
        <x:v>https://cordura.com/find-your-match</x:v>
      </x:c>
      <x:c r="H27" s="32" t="str">
        <x:v>Alta</x:v>
      </x:c>
      <x:c r="I27" s="32" t="str">
        <x:v>Internacional</x:v>
      </x:c>
      <x:c r="J27" s="32" t="str">
        <x:v>Solicitar amostra ao fabricante/distribuidor</x:v>
      </x:c>
      <x:c r="K27" s="32" t="str">
        <x:v>A solicitar</x:v>
      </x:c>
      <x:c r="L27" s="32" t="str">
        <x:v>Referência localizada</x:v>
      </x:c>
      <x:c r="M27" s="32" t="str">
        <x:v>Candidata</x:v>
      </x:c>
      <x:c r="N27" s="32" t="str">
        <x:v>Operations</x:v>
      </x:c>
      <x:c r="O27" s="32" t="n">
        <x:v>1</x:v>
      </x:c>
      <x:c r="P27" s="32"/>
      <x:c r="Q27" s="32" t="str"/>
      <x:c r="R27" s="32" t="str"/>
      <x:c r="S27" s="32" t="str">
        <x:v>Não revisada</x:v>
      </x:c>
      <x:c r="T27" s="32" t="str">
        <x:v>Confirmar ficha técnica/ensaio e código exato antes da aceitação.</x:v>
      </x:c>
      <x:c r="U27" s="32" t="str">
        <x:v>dimension-revision:structure.family:v0.3</x:v>
      </x:c>
      <x:c r="V27" s="32" t="str">
        <x:v>concept-revision:structure.family.woven_fabric:v0.3</x:v>
      </x:c>
      <x:c r="W27" s="32" t="str">
        <x:v>concept-revision:construction.primary.twill:v0.3</x:v>
      </x:c>
      <x:c r="X27" s="32" t="str">
        <x:v>lead_only_not_asserted</x:v>
      </x:c>
      <x:c r="Y27" s="32" t="str">
        <x:v>textile-sample:ops-tx-026</x:v>
      </x:c>
      <x:c r="Z27" s="32" t="str"/>
      <x:c r="AA27" s="14" t="str"/>
      <x:c r="AB27" s="14" t="str"/>
      <x:c r="AC27" s="14" t="str"/>
      <x:c r="AD27" s="14" t="str">
        <x:v>wave-1-polartec-cordura</x:v>
      </x:c>
    </x:row>
    <x:row r="28">
      <x:c r="A28" s="32" t="str">
        <x:v>OPS-TX-027</x:v>
      </x:c>
      <x:c r="B28" s="32" t="str">
        <x:v>CORDURA / INVISTA</x:v>
      </x:c>
      <x:c r="C28" s="32" t="str">
        <x:v>Hi-Vis T485 Fabric</x:v>
      </x:c>
      <x:c r="D28" s="32" t="str">
        <x:v>tecido_plano</x:v>
      </x:c>
      <x:c r="E28" s="32" t="str">
        <x:v>tecido plano alta visibilidade</x:v>
      </x:c>
      <x:c r="F28" s="32" t="str">
        <x:v>Página técnica oficial e acesso a especificações/sales sheet via Fabric Finder</x:v>
      </x:c>
      <x:c r="G28" s="32" t="str">
        <x:v>https://cordura.com/find-your-match</x:v>
      </x:c>
      <x:c r="H28" s="32" t="str">
        <x:v>Alta</x:v>
      </x:c>
      <x:c r="I28" s="32" t="str">
        <x:v>Internacional</x:v>
      </x:c>
      <x:c r="J28" s="32" t="str">
        <x:v>Solicitar amostra ao fabricante/distribuidor</x:v>
      </x:c>
      <x:c r="K28" s="32" t="str">
        <x:v>A solicitar</x:v>
      </x:c>
      <x:c r="L28" s="32" t="str">
        <x:v>Referência localizada</x:v>
      </x:c>
      <x:c r="M28" s="32" t="str">
        <x:v>Candidata</x:v>
      </x:c>
      <x:c r="N28" s="32" t="str">
        <x:v>Operations</x:v>
      </x:c>
      <x:c r="O28" s="32" t="n">
        <x:v>1</x:v>
      </x:c>
      <x:c r="P28" s="32"/>
      <x:c r="Q28" s="32" t="str"/>
      <x:c r="R28" s="32" t="str"/>
      <x:c r="S28" s="32" t="str">
        <x:v>Não revisada</x:v>
      </x:c>
      <x:c r="T28" s="32" t="str">
        <x:v>Confirmar ficha técnica/ensaio e código exato antes da aceitação.</x:v>
      </x:c>
      <x:c r="U28" s="32" t="str">
        <x:v>dimension-revision:structure.family:v0.3</x:v>
      </x:c>
      <x:c r="V28" s="32" t="str">
        <x:v>concept-revision:structure.family.woven_fabric:v0.3</x:v>
      </x:c>
      <x:c r="W28" s="32" t="str"/>
      <x:c r="X28" s="32" t="str">
        <x:v>lead_only_not_asserted</x:v>
      </x:c>
      <x:c r="Y28" s="32" t="str">
        <x:v>textile-sample:ops-tx-027</x:v>
      </x:c>
      <x:c r="Z28" s="32" t="str"/>
      <x:c r="AA28" s="14" t="str"/>
      <x:c r="AB28" s="14" t="str"/>
      <x:c r="AC28" s="14" t="str"/>
      <x:c r="AD28" s="14" t="str">
        <x:v>wave-1-polartec-cordura</x:v>
      </x:c>
    </x:row>
    <x:row r="29">
      <x:c r="A29" s="32" t="str">
        <x:v>OPS-TX-028</x:v>
      </x:c>
      <x:c r="B29" s="32" t="str">
        <x:v>CORDURA / INVISTA</x:v>
      </x:c>
      <x:c r="C29" s="32" t="str">
        <x:v>HP Fabric</x:v>
      </x:c>
      <x:c r="D29" s="32" t="str">
        <x:v>tecido_plano</x:v>
      </x:c>
      <x:c r="E29" s="32" t="str">
        <x:v>tecido plano poliéster para impressão</x:v>
      </x:c>
      <x:c r="F29" s="32" t="str">
        <x:v>Página técnica oficial e acesso a especificações/sales sheet via Fabric Finder</x:v>
      </x:c>
      <x:c r="G29" s="32" t="str">
        <x:v>https://cordura.com/find-your-match</x:v>
      </x:c>
      <x:c r="H29" s="32" t="str">
        <x:v>Alta</x:v>
      </x:c>
      <x:c r="I29" s="32" t="str">
        <x:v>Internacional</x:v>
      </x:c>
      <x:c r="J29" s="32" t="str">
        <x:v>Solicitar amostra ao fabricante/distribuidor</x:v>
      </x:c>
      <x:c r="K29" s="32" t="str">
        <x:v>A solicitar</x:v>
      </x:c>
      <x:c r="L29" s="32" t="str">
        <x:v>Referência localizada</x:v>
      </x:c>
      <x:c r="M29" s="32" t="str">
        <x:v>Candidata</x:v>
      </x:c>
      <x:c r="N29" s="32" t="str">
        <x:v>Operations</x:v>
      </x:c>
      <x:c r="O29" s="32" t="n">
        <x:v>1</x:v>
      </x:c>
      <x:c r="P29" s="32"/>
      <x:c r="Q29" s="32" t="str"/>
      <x:c r="R29" s="32" t="str"/>
      <x:c r="S29" s="32" t="str">
        <x:v>Não revisada</x:v>
      </x:c>
      <x:c r="T29" s="32" t="str">
        <x:v>Confirmar ficha técnica/ensaio e código exato antes da aceitação.</x:v>
      </x:c>
      <x:c r="U29" s="32" t="str">
        <x:v>dimension-revision:structure.family:v0.3</x:v>
      </x:c>
      <x:c r="V29" s="32" t="str">
        <x:v>concept-revision:structure.family.woven_fabric:v0.3</x:v>
      </x:c>
      <x:c r="W29" s="32" t="str"/>
      <x:c r="X29" s="32" t="str">
        <x:v>lead_only_not_asserted</x:v>
      </x:c>
      <x:c r="Y29" s="32" t="str">
        <x:v>textile-sample:ops-tx-028</x:v>
      </x:c>
      <x:c r="Z29" s="32" t="str"/>
      <x:c r="AA29" s="14" t="str"/>
      <x:c r="AB29" s="14" t="str"/>
      <x:c r="AC29" s="14" t="str"/>
      <x:c r="AD29" s="14" t="str">
        <x:v>wave-1-polartec-cordura</x:v>
      </x:c>
    </x:row>
    <x:row r="30">
      <x:c r="A30" s="32" t="str">
        <x:v>OPS-TX-029</x:v>
      </x:c>
      <x:c r="B30" s="32" t="str">
        <x:v>CORDURA / INVISTA</x:v>
      </x:c>
      <x:c r="C30" s="32" t="str">
        <x:v>Lite Fabric</x:v>
      </x:c>
      <x:c r="D30" s="32" t="str">
        <x:v>tecido_plano</x:v>
      </x:c>
      <x:c r="E30" s="32" t="str">
        <x:v>ripstop/cestaria/dobby leve</x:v>
      </x:c>
      <x:c r="F30" s="32" t="str">
        <x:v>Página técnica oficial e acesso a especificações/sales sheet via Fabric Finder</x:v>
      </x:c>
      <x:c r="G30" s="32" t="str">
        <x:v>https://cordura.com/find-your-match</x:v>
      </x:c>
      <x:c r="H30" s="32" t="str">
        <x:v>Alta</x:v>
      </x:c>
      <x:c r="I30" s="32" t="str">
        <x:v>Internacional</x:v>
      </x:c>
      <x:c r="J30" s="32" t="str">
        <x:v>Solicitar amostra ao fabricante/distribuidor</x:v>
      </x:c>
      <x:c r="K30" s="32" t="str">
        <x:v>A solicitar</x:v>
      </x:c>
      <x:c r="L30" s="32" t="str">
        <x:v>Referência localizada</x:v>
      </x:c>
      <x:c r="M30" s="32" t="str">
        <x:v>Candidata</x:v>
      </x:c>
      <x:c r="N30" s="32" t="str">
        <x:v>Operations</x:v>
      </x:c>
      <x:c r="O30" s="32" t="n">
        <x:v>1</x:v>
      </x:c>
      <x:c r="P30" s="32"/>
      <x:c r="Q30" s="32" t="str"/>
      <x:c r="R30" s="32" t="str"/>
      <x:c r="S30" s="32" t="str">
        <x:v>Não revisada</x:v>
      </x:c>
      <x:c r="T30" s="32" t="str">
        <x:v>Confirmar ficha técnica/ensaio e código exato antes da aceitação.</x:v>
      </x:c>
      <x:c r="U30" s="32" t="str">
        <x:v>dimension-revision:structure.family:v0.3</x:v>
      </x:c>
      <x:c r="V30" s="32" t="str">
        <x:v>concept-revision:structure.family.woven_fabric:v0.3</x:v>
      </x:c>
      <x:c r="W30" s="32" t="str">
        <x:v>concept-revision:patterning.special_construction.ripstop:v0.3; concept-revision:patterning.mechanism.dobby:v0.3</x:v>
      </x:c>
      <x:c r="X30" s="32" t="str">
        <x:v>lead_only_not_asserted</x:v>
      </x:c>
      <x:c r="Y30" s="32" t="str">
        <x:v>textile-sample:ops-tx-029</x:v>
      </x:c>
      <x:c r="Z30" s="32" t="str"/>
      <x:c r="AA30" s="14" t="str"/>
      <x:c r="AB30" s="14" t="str"/>
      <x:c r="AC30" s="14" t="str"/>
      <x:c r="AD30" s="14" t="str">
        <x:v>wave-1-polartec-cordura</x:v>
      </x:c>
    </x:row>
    <x:row r="31">
      <x:c r="A31" s="32" t="str">
        <x:v>OPS-TX-030</x:v>
      </x:c>
      <x:c r="B31" s="32" t="str">
        <x:v>CORDURA / INVISTA</x:v>
      </x:c>
      <x:c r="C31" s="32" t="str">
        <x:v>Naturalle Fabric</x:v>
      </x:c>
      <x:c r="D31" s="32" t="str">
        <x:v>tecido_plano</x:v>
      </x:c>
      <x:c r="E31" s="32" t="str">
        <x:v>tafetá/ripstop/dupla face/dobby</x:v>
      </x:c>
      <x:c r="F31" s="32" t="str">
        <x:v>Página técnica oficial e acesso a especificações/sales sheet via Fabric Finder</x:v>
      </x:c>
      <x:c r="G31" s="32" t="str">
        <x:v>https://cordura.com/find-your-match</x:v>
      </x:c>
      <x:c r="H31" s="32" t="str">
        <x:v>Alta</x:v>
      </x:c>
      <x:c r="I31" s="32" t="str">
        <x:v>Internacional</x:v>
      </x:c>
      <x:c r="J31" s="32" t="str">
        <x:v>Solicitar amostra ao fabricante/distribuidor</x:v>
      </x:c>
      <x:c r="K31" s="32" t="str">
        <x:v>A solicitar</x:v>
      </x:c>
      <x:c r="L31" s="32" t="str">
        <x:v>Referência localizada</x:v>
      </x:c>
      <x:c r="M31" s="32" t="str">
        <x:v>Candidata</x:v>
      </x:c>
      <x:c r="N31" s="32" t="str">
        <x:v>Operations</x:v>
      </x:c>
      <x:c r="O31" s="32" t="n">
        <x:v>1</x:v>
      </x:c>
      <x:c r="P31" s="32"/>
      <x:c r="Q31" s="32" t="str"/>
      <x:c r="R31" s="32" t="str"/>
      <x:c r="S31" s="32" t="str">
        <x:v>Não revisada</x:v>
      </x:c>
      <x:c r="T31" s="32" t="str">
        <x:v>Confirmar ficha técnica/ensaio e código exato antes da aceitação.</x:v>
      </x:c>
      <x:c r="U31" s="32" t="str">
        <x:v>dimension-revision:structure.family:v0.3</x:v>
      </x:c>
      <x:c r="V31" s="32" t="str">
        <x:v>concept-revision:structure.family.woven_fabric:v0.3</x:v>
      </x:c>
      <x:c r="W31" s="32" t="str">
        <x:v>concept-revision:construction.primary.plain_weave:v0.3; concept-revision:patterning.special_construction.ripstop:v0.3; concept-revision:patterning.mechanism.dobby:v0.3; concept-revision:patterning.surface_multilayer.double_face:v0.3</x:v>
      </x:c>
      <x:c r="X31" s="32" t="str">
        <x:v>lead_only_not_asserted</x:v>
      </x:c>
      <x:c r="Y31" s="32" t="str">
        <x:v>textile-sample:ops-tx-030</x:v>
      </x:c>
      <x:c r="Z31" s="32" t="str"/>
      <x:c r="AA31" s="14" t="str"/>
      <x:c r="AB31" s="14" t="str"/>
      <x:c r="AC31" s="14" t="str"/>
      <x:c r="AD31" s="14" t="str">
        <x:v>wave-1-polartec-cordura</x:v>
      </x:c>
    </x:row>
    <x:row r="32">
      <x:c r="A32" s="32" t="str">
        <x:v>OPS-TX-031</x:v>
      </x:c>
      <x:c r="B32" s="32" t="str">
        <x:v>CORDURA / INVISTA</x:v>
      </x:c>
      <x:c r="C32" s="32" t="str">
        <x:v>Naturalle Knit</x:v>
      </x:c>
      <x:c r="D32" s="32" t="str">
        <x:v>malha_trama</x:v>
      </x:c>
      <x:c r="E32" s="32" t="str">
        <x:v>malha técnica leve</x:v>
      </x:c>
      <x:c r="F32" s="32" t="str">
        <x:v>Página técnica oficial e acesso a especificações/sales sheet via Fabric Finder</x:v>
      </x:c>
      <x:c r="G32" s="32" t="str">
        <x:v>https://cordura.com/find-your-match</x:v>
      </x:c>
      <x:c r="H32" s="32" t="str">
        <x:v>Alta</x:v>
      </x:c>
      <x:c r="I32" s="32" t="str">
        <x:v>Internacional</x:v>
      </x:c>
      <x:c r="J32" s="32" t="str">
        <x:v>Solicitar amostra ao fabricante/distribuidor</x:v>
      </x:c>
      <x:c r="K32" s="32" t="str">
        <x:v>A solicitar</x:v>
      </x:c>
      <x:c r="L32" s="32" t="str">
        <x:v>Referência localizada</x:v>
      </x:c>
      <x:c r="M32" s="32" t="str">
        <x:v>Candidata</x:v>
      </x:c>
      <x:c r="N32" s="32" t="str">
        <x:v>Operations</x:v>
      </x:c>
      <x:c r="O32" s="32" t="n">
        <x:v>1</x:v>
      </x:c>
      <x:c r="P32" s="32"/>
      <x:c r="Q32" s="32" t="str"/>
      <x:c r="R32" s="32" t="str"/>
      <x:c r="S32" s="32" t="str">
        <x:v>Não revisada</x:v>
      </x:c>
      <x:c r="T32" s="32" t="str">
        <x:v>Confirmar ficha técnica/ensaio e código exato antes da aceitação.</x:v>
      </x:c>
      <x:c r="U32" s="32" t="str">
        <x:v>dimension-revision:structure.family:v0.3</x:v>
      </x:c>
      <x:c r="V32" s="32" t="str">
        <x:v>concept-revision:structure.family.weft_knit:v0.3</x:v>
      </x:c>
      <x:c r="W32" s="32" t="str"/>
      <x:c r="X32" s="32" t="str">
        <x:v>lead_only_not_asserted</x:v>
      </x:c>
      <x:c r="Y32" s="32" t="str">
        <x:v>textile-sample:ops-tx-031</x:v>
      </x:c>
      <x:c r="Z32" s="32" t="str"/>
      <x:c r="AA32" s="14" t="str"/>
      <x:c r="AB32" s="14" t="str"/>
      <x:c r="AC32" s="14" t="str"/>
      <x:c r="AD32" s="14" t="str">
        <x:v>wave-1-polartec-cordura</x:v>
      </x:c>
    </x:row>
    <x:row r="33">
      <x:c r="A33" s="32" t="str">
        <x:v>OPS-TX-032</x:v>
      </x:c>
      <x:c r="B33" s="32" t="str">
        <x:v>CORDURA / INVISTA</x:v>
      </x:c>
      <x:c r="C33" s="32" t="str">
        <x:v>NYCO Fabric</x:v>
      </x:c>
      <x:c r="D33" s="32" t="str">
        <x:v>tecido_plano</x:v>
      </x:c>
      <x:c r="E33" s="32" t="str">
        <x:v>tecido plano nylon/algodão</x:v>
      </x:c>
      <x:c r="F33" s="32" t="str">
        <x:v>Página técnica oficial e acesso a especificações/sales sheet via Fabric Finder</x:v>
      </x:c>
      <x:c r="G33" s="32" t="str">
        <x:v>https://cordura.com/find-your-match</x:v>
      </x:c>
      <x:c r="H33" s="32" t="str">
        <x:v>Alta</x:v>
      </x:c>
      <x:c r="I33" s="32" t="str">
        <x:v>Internacional</x:v>
      </x:c>
      <x:c r="J33" s="32" t="str">
        <x:v>Solicitar amostra ao fabricante/distribuidor</x:v>
      </x:c>
      <x:c r="K33" s="32" t="str">
        <x:v>A solicitar</x:v>
      </x:c>
      <x:c r="L33" s="32" t="str">
        <x:v>Referência localizada</x:v>
      </x:c>
      <x:c r="M33" s="32" t="str">
        <x:v>Candidata</x:v>
      </x:c>
      <x:c r="N33" s="32" t="str">
        <x:v>Operations</x:v>
      </x:c>
      <x:c r="O33" s="32" t="n">
        <x:v>1</x:v>
      </x:c>
      <x:c r="P33" s="32"/>
      <x:c r="Q33" s="32" t="str"/>
      <x:c r="R33" s="32" t="str"/>
      <x:c r="S33" s="32" t="str">
        <x:v>Não revisada</x:v>
      </x:c>
      <x:c r="T33" s="32" t="str">
        <x:v>Confirmar ficha técnica/ensaio e código exato antes da aceitação.</x:v>
      </x:c>
      <x:c r="U33" s="32" t="str">
        <x:v>dimension-revision:structure.family:v0.3</x:v>
      </x:c>
      <x:c r="V33" s="32" t="str">
        <x:v>concept-revision:structure.family.woven_fabric:v0.3</x:v>
      </x:c>
      <x:c r="W33" s="32" t="str"/>
      <x:c r="X33" s="32" t="str">
        <x:v>lead_only_not_asserted</x:v>
      </x:c>
      <x:c r="Y33" s="32" t="str">
        <x:v>textile-sample:ops-tx-032</x:v>
      </x:c>
      <x:c r="Z33" s="32" t="str"/>
      <x:c r="AA33" s="14" t="str"/>
      <x:c r="AB33" s="14" t="str"/>
      <x:c r="AC33" s="14" t="str"/>
      <x:c r="AD33" s="14" t="str">
        <x:v>wave-1-polartec-cordura</x:v>
      </x:c>
    </x:row>
    <x:row r="34">
      <x:c r="A34" s="32" t="str">
        <x:v>OPS-TX-033</x:v>
      </x:c>
      <x:c r="B34" s="32" t="str">
        <x:v>CORDURA / INVISTA</x:v>
      </x:c>
      <x:c r="C34" s="32" t="str">
        <x:v>NYCO Knit</x:v>
      </x:c>
      <x:c r="D34" s="32" t="str">
        <x:v>malha_trama</x:v>
      </x:c>
      <x:c r="E34" s="32" t="str">
        <x:v>malha nylon/algodão</x:v>
      </x:c>
      <x:c r="F34" s="32" t="str">
        <x:v>Página técnica oficial e acesso a especificações/sales sheet via Fabric Finder</x:v>
      </x:c>
      <x:c r="G34" s="32" t="str">
        <x:v>https://cordura.com/find-your-match</x:v>
      </x:c>
      <x:c r="H34" s="32" t="str">
        <x:v>Alta</x:v>
      </x:c>
      <x:c r="I34" s="32" t="str">
        <x:v>Internacional</x:v>
      </x:c>
      <x:c r="J34" s="32" t="str">
        <x:v>Solicitar amostra ao fabricante/distribuidor</x:v>
      </x:c>
      <x:c r="K34" s="32" t="str">
        <x:v>A solicitar</x:v>
      </x:c>
      <x:c r="L34" s="32" t="str">
        <x:v>Referência localizada</x:v>
      </x:c>
      <x:c r="M34" s="32" t="str">
        <x:v>Candidata</x:v>
      </x:c>
      <x:c r="N34" s="32" t="str">
        <x:v>Operations</x:v>
      </x:c>
      <x:c r="O34" s="32" t="n">
        <x:v>1</x:v>
      </x:c>
      <x:c r="P34" s="32"/>
      <x:c r="Q34" s="32" t="str"/>
      <x:c r="R34" s="32" t="str"/>
      <x:c r="S34" s="32" t="str">
        <x:v>Não revisada</x:v>
      </x:c>
      <x:c r="T34" s="32" t="str">
        <x:v>Confirmar ficha técnica/ensaio e código exato antes da aceitação.</x:v>
      </x:c>
      <x:c r="U34" s="32" t="str">
        <x:v>dimension-revision:structure.family:v0.3</x:v>
      </x:c>
      <x:c r="V34" s="32" t="str">
        <x:v>concept-revision:structure.family.weft_knit:v0.3</x:v>
      </x:c>
      <x:c r="W34" s="32" t="str"/>
      <x:c r="X34" s="32" t="str">
        <x:v>lead_only_not_asserted</x:v>
      </x:c>
      <x:c r="Y34" s="32" t="str">
        <x:v>textile-sample:ops-tx-033</x:v>
      </x:c>
      <x:c r="Z34" s="32" t="str"/>
      <x:c r="AA34" s="14" t="str"/>
      <x:c r="AB34" s="14" t="str"/>
      <x:c r="AC34" s="14" t="str"/>
      <x:c r="AD34" s="14" t="str">
        <x:v>wave-1-polartec-cordura</x:v>
      </x:c>
    </x:row>
    <x:row r="35">
      <x:c r="A35" s="32" t="str">
        <x:v>OPS-TX-034</x:v>
      </x:c>
      <x:c r="B35" s="32" t="str">
        <x:v>CORDURA / INVISTA</x:v>
      </x:c>
      <x:c r="C35" s="32" t="str">
        <x:v>re/cor RN66</x:v>
      </x:c>
      <x:c r="D35" s="32" t="str">
        <x:v>tecido_plano</x:v>
      </x:c>
      <x:c r="E35" s="32" t="str">
        <x:v>tecido reciclado nylon 6,6</x:v>
      </x:c>
      <x:c r="F35" s="32" t="str">
        <x:v>Página técnica oficial e acesso a especificações/sales sheet via Fabric Finder</x:v>
      </x:c>
      <x:c r="G35" s="32" t="str">
        <x:v>https://cordura.com/find-your-match</x:v>
      </x:c>
      <x:c r="H35" s="32" t="str">
        <x:v>Alta</x:v>
      </x:c>
      <x:c r="I35" s="32" t="str">
        <x:v>Internacional</x:v>
      </x:c>
      <x:c r="J35" s="32" t="str">
        <x:v>Solicitar amostra ao fabricante/distribuidor</x:v>
      </x:c>
      <x:c r="K35" s="32" t="str">
        <x:v>A solicitar</x:v>
      </x:c>
      <x:c r="L35" s="32" t="str">
        <x:v>Referência localizada</x:v>
      </x:c>
      <x:c r="M35" s="32" t="str">
        <x:v>Candidata</x:v>
      </x:c>
      <x:c r="N35" s="32" t="str">
        <x:v>Operations</x:v>
      </x:c>
      <x:c r="O35" s="32" t="n">
        <x:v>1</x:v>
      </x:c>
      <x:c r="P35" s="32"/>
      <x:c r="Q35" s="32" t="str"/>
      <x:c r="R35" s="32" t="str"/>
      <x:c r="S35" s="32" t="str">
        <x:v>Não revisada</x:v>
      </x:c>
      <x:c r="T35" s="32" t="str">
        <x:v>Confirmar ficha técnica/ensaio e código exato antes da aceitação.</x:v>
      </x:c>
      <x:c r="U35" s="32" t="str">
        <x:v>dimension-revision:structure.family:v0.3</x:v>
      </x:c>
      <x:c r="V35" s="32" t="str">
        <x:v>concept-revision:structure.family.woven_fabric:v0.3</x:v>
      </x:c>
      <x:c r="W35" s="32" t="str"/>
      <x:c r="X35" s="32" t="str">
        <x:v>lead_only_not_asserted</x:v>
      </x:c>
      <x:c r="Y35" s="32" t="str">
        <x:v>textile-sample:ops-tx-034</x:v>
      </x:c>
      <x:c r="Z35" s="32" t="str"/>
      <x:c r="AA35" s="14" t="str"/>
      <x:c r="AB35" s="14" t="str"/>
      <x:c r="AC35" s="14" t="str"/>
      <x:c r="AD35" s="14" t="str">
        <x:v>wave-1-polartec-cordura</x:v>
      </x:c>
    </x:row>
    <x:row r="36">
      <x:c r="A36" s="32" t="str">
        <x:v>OPS-TX-035</x:v>
      </x:c>
      <x:c r="B36" s="32" t="str">
        <x:v>CORDURA / INVISTA</x:v>
      </x:c>
      <x:c r="C36" s="32" t="str">
        <x:v>UltraLite Fabric</x:v>
      </x:c>
      <x:c r="D36" s="32" t="str">
        <x:v>tecido_plano</x:v>
      </x:c>
      <x:c r="E36" s="32" t="str">
        <x:v>tecido plano ultraleve</x:v>
      </x:c>
      <x:c r="F36" s="32" t="str">
        <x:v>Página técnica oficial e acesso a especificações/sales sheet via Fabric Finder</x:v>
      </x:c>
      <x:c r="G36" s="32" t="str">
        <x:v>https://cordura.com/find-your-match</x:v>
      </x:c>
      <x:c r="H36" s="32" t="str">
        <x:v>Alta</x:v>
      </x:c>
      <x:c r="I36" s="32" t="str">
        <x:v>Internacional</x:v>
      </x:c>
      <x:c r="J36" s="32" t="str">
        <x:v>Solicitar amostra ao fabricante/distribuidor</x:v>
      </x:c>
      <x:c r="K36" s="32" t="str">
        <x:v>A solicitar</x:v>
      </x:c>
      <x:c r="L36" s="32" t="str">
        <x:v>Referência localizada</x:v>
      </x:c>
      <x:c r="M36" s="32" t="str">
        <x:v>Candidata</x:v>
      </x:c>
      <x:c r="N36" s="32" t="str">
        <x:v>Operations</x:v>
      </x:c>
      <x:c r="O36" s="32" t="n">
        <x:v>1</x:v>
      </x:c>
      <x:c r="P36" s="32"/>
      <x:c r="Q36" s="32" t="str"/>
      <x:c r="R36" s="32" t="str"/>
      <x:c r="S36" s="32" t="str">
        <x:v>Não revisada</x:v>
      </x:c>
      <x:c r="T36" s="32" t="str">
        <x:v>Confirmar ficha técnica/ensaio e código exato antes da aceitação.</x:v>
      </x:c>
      <x:c r="U36" s="32" t="str">
        <x:v>dimension-revision:structure.family:v0.3</x:v>
      </x:c>
      <x:c r="V36" s="32" t="str">
        <x:v>concept-revision:structure.family.woven_fabric:v0.3</x:v>
      </x:c>
      <x:c r="W36" s="32" t="str"/>
      <x:c r="X36" s="32" t="str">
        <x:v>lead_only_not_asserted</x:v>
      </x:c>
      <x:c r="Y36" s="32" t="str">
        <x:v>textile-sample:ops-tx-035</x:v>
      </x:c>
      <x:c r="Z36" s="32" t="str"/>
      <x:c r="AA36" s="14" t="str"/>
      <x:c r="AB36" s="14" t="str"/>
      <x:c r="AC36" s="14" t="str"/>
      <x:c r="AD36" s="14" t="str">
        <x:v>wave-1-polartec-cordura</x:v>
      </x:c>
    </x:row>
    <x:row r="37">
      <x:c r="A37" s="32" t="str">
        <x:v>OPS-TX-036</x:v>
      </x:c>
      <x:c r="B37" s="32" t="str">
        <x:v>Freudenberg Performance Materials</x:v>
      </x:c>
      <x:c r="C37" s="32" t="str">
        <x:v>Colback</x:v>
      </x:c>
      <x:c r="D37" s="32" t="str">
        <x:v>nao_tecido</x:v>
      </x:c>
      <x:c r="E37" s="32" t="str">
        <x:v>spunbond polimérico</x:v>
      </x:c>
      <x:c r="F37" s="32" t="str">
        <x:v>Página técnica oficial; detalhamento adicional sob consulta</x:v>
      </x:c>
      <x:c r="G37" s="32" t="str">
        <x:v>https://www.freudenberg-pm.com/en/brands/colback</x:v>
      </x:c>
      <x:c r="H37" s="32" t="str">
        <x:v>Média</x:v>
      </x:c>
      <x:c r="I37" s="32" t="str">
        <x:v>Internacional</x:v>
      </x:c>
      <x:c r="J37" s="32" t="str">
        <x:v>Solicitar amostra ao fabricante/distribuidor</x:v>
      </x:c>
      <x:c r="K37" s="32" t="str">
        <x:v>A solicitar</x:v>
      </x:c>
      <x:c r="L37" s="32" t="str">
        <x:v>Referência localizada</x:v>
      </x:c>
      <x:c r="M37" s="32" t="str">
        <x:v>Candidata</x:v>
      </x:c>
      <x:c r="N37" s="32" t="str">
        <x:v>Operations</x:v>
      </x:c>
      <x:c r="O37" s="32" t="n">
        <x:v>1</x:v>
      </x:c>
      <x:c r="P37" s="32"/>
      <x:c r="Q37" s="32" t="str"/>
      <x:c r="R37" s="32" t="str"/>
      <x:c r="S37" s="32" t="str">
        <x:v>Não revisada</x:v>
      </x:c>
      <x:c r="T37" s="32" t="str">
        <x:v>Confirmar ficha técnica/ensaio e código exato antes da aceitação.</x:v>
      </x:c>
      <x:c r="U37" s="32" t="str">
        <x:v>dimension-revision:structure.family:v0.3</x:v>
      </x:c>
      <x:c r="V37" s="32" t="str">
        <x:v>concept-revision:structure.family.nonwoven:v0.3</x:v>
      </x:c>
      <x:c r="W37" s="32" t="str">
        <x:v>concept-revision:nonwoven.extrusion.spunbond:v0.3</x:v>
      </x:c>
      <x:c r="X37" s="32" t="str">
        <x:v>lead_only_not_asserted</x:v>
      </x:c>
      <x:c r="Y37" s="32" t="str">
        <x:v>textile-sample:ops-tx-036</x:v>
      </x:c>
      <x:c r="Z37" s="32" t="str"/>
      <x:c r="AA37" s="14" t="str"/>
      <x:c r="AB37" s="14" t="str"/>
      <x:c r="AC37" s="14" t="str"/>
      <x:c r="AD37" s="14" t="str">
        <x:v>wave-1-ahlstrom-freudenberg</x:v>
      </x:c>
    </x:row>
    <x:row r="38">
      <x:c r="A38" s="32" t="str">
        <x:v>OPS-TX-037</x:v>
      </x:c>
      <x:c r="B38" s="32" t="str">
        <x:v>Freudenberg Performance Materials</x:v>
      </x:c>
      <x:c r="C38" s="32" t="str">
        <x:v>Evolon</x:v>
      </x:c>
      <x:c r="D38" s="32" t="str">
        <x:v>nao_tecido</x:v>
      </x:c>
      <x:c r="E38" s="32" t="str">
        <x:v>microfilamento hidroentrelaçado</x:v>
      </x:c>
      <x:c r="F38" s="32" t="str">
        <x:v>Página técnica oficial; detalhamento adicional sob consulta</x:v>
      </x:c>
      <x:c r="G38" s="32" t="str">
        <x:v>https://www.freudenberg-pm.com/en/brands/evolon</x:v>
      </x:c>
      <x:c r="H38" s="32" t="str">
        <x:v>Média</x:v>
      </x:c>
      <x:c r="I38" s="32" t="str">
        <x:v>Internacional</x:v>
      </x:c>
      <x:c r="J38" s="32" t="str">
        <x:v>Solicitar amostra ao fabricante/distribuidor</x:v>
      </x:c>
      <x:c r="K38" s="32" t="str">
        <x:v>A solicitar</x:v>
      </x:c>
      <x:c r="L38" s="32" t="str">
        <x:v>Referência localizada</x:v>
      </x:c>
      <x:c r="M38" s="32" t="str">
        <x:v>Candidata</x:v>
      </x:c>
      <x:c r="N38" s="32" t="str">
        <x:v>Operations</x:v>
      </x:c>
      <x:c r="O38" s="32" t="n">
        <x:v>1</x:v>
      </x:c>
      <x:c r="P38" s="32"/>
      <x:c r="Q38" s="32" t="str"/>
      <x:c r="R38" s="32" t="str"/>
      <x:c r="S38" s="32" t="str">
        <x:v>Não revisada</x:v>
      </x:c>
      <x:c r="T38" s="32" t="str">
        <x:v>Confirmar ficha técnica/ensaio e código exato antes da aceitação.</x:v>
      </x:c>
      <x:c r="U38" s="32" t="str">
        <x:v>dimension-revision:structure.family:v0.3</x:v>
      </x:c>
      <x:c r="V38" s="32" t="str">
        <x:v>concept-revision:structure.family.nonwoven:v0.3</x:v>
      </x:c>
      <x:c r="W38" s="32" t="str">
        <x:v>concept-revision:nonwoven.consolidation.hydroentangled:v0.3</x:v>
      </x:c>
      <x:c r="X38" s="32" t="str">
        <x:v>lead_only_not_asserted</x:v>
      </x:c>
      <x:c r="Y38" s="32" t="str">
        <x:v>textile-sample:ops-tx-037</x:v>
      </x:c>
      <x:c r="Z38" s="32" t="str"/>
      <x:c r="AA38" s="14" t="str"/>
      <x:c r="AB38" s="14" t="str"/>
      <x:c r="AC38" s="14" t="str"/>
      <x:c r="AD38" s="14" t="str">
        <x:v>wave-1-ahlstrom-freudenberg</x:v>
      </x:c>
    </x:row>
    <x:row r="39">
      <x:c r="A39" s="32" t="str">
        <x:v>OPS-TX-038</x:v>
      </x:c>
      <x:c r="B39" s="32" t="str">
        <x:v>Freudenberg Performance Materials</x:v>
      </x:c>
      <x:c r="C39" s="32" t="str">
        <x:v>Filc</x:v>
      </x:c>
      <x:c r="D39" s="32" t="str">
        <x:v>nao_tecido</x:v>
      </x:c>
      <x:c r="E39" s="32" t="str">
        <x:v>agulhado técnico</x:v>
      </x:c>
      <x:c r="F39" s="32" t="str">
        <x:v>Página técnica oficial; detalhamento adicional sob consulta</x:v>
      </x:c>
      <x:c r="G39" s="32" t="str">
        <x:v>https://www.freudenberg-pm.com/en/brands/filc</x:v>
      </x:c>
      <x:c r="H39" s="32" t="str">
        <x:v>Média</x:v>
      </x:c>
      <x:c r="I39" s="32" t="str">
        <x:v>Internacional</x:v>
      </x:c>
      <x:c r="J39" s="32" t="str">
        <x:v>Solicitar amostra ao fabricante/distribuidor</x:v>
      </x:c>
      <x:c r="K39" s="32" t="str">
        <x:v>A solicitar</x:v>
      </x:c>
      <x:c r="L39" s="32" t="str">
        <x:v>Referência localizada</x:v>
      </x:c>
      <x:c r="M39" s="32" t="str">
        <x:v>Candidata</x:v>
      </x:c>
      <x:c r="N39" s="32" t="str">
        <x:v>Operations</x:v>
      </x:c>
      <x:c r="O39" s="32" t="n">
        <x:v>1</x:v>
      </x:c>
      <x:c r="P39" s="32"/>
      <x:c r="Q39" s="32" t="str"/>
      <x:c r="R39" s="32" t="str"/>
      <x:c r="S39" s="32" t="str">
        <x:v>Não revisada</x:v>
      </x:c>
      <x:c r="T39" s="32" t="str">
        <x:v>Confirmar ficha técnica/ensaio e código exato antes da aceitação.</x:v>
      </x:c>
      <x:c r="U39" s="32" t="str">
        <x:v>dimension-revision:structure.family:v0.3</x:v>
      </x:c>
      <x:c r="V39" s="32" t="str">
        <x:v>concept-revision:structure.family.nonwoven:v0.3</x:v>
      </x:c>
      <x:c r="W39" s="32" t="str">
        <x:v>concept-revision:nonwoven.consolidation.needle_punched:v0.3</x:v>
      </x:c>
      <x:c r="X39" s="32" t="str">
        <x:v>lead_only_not_asserted</x:v>
      </x:c>
      <x:c r="Y39" s="32" t="str">
        <x:v>textile-sample:ops-tx-038</x:v>
      </x:c>
      <x:c r="Z39" s="32" t="str"/>
      <x:c r="AA39" s="14" t="str"/>
      <x:c r="AB39" s="14" t="str"/>
      <x:c r="AC39" s="14" t="str"/>
      <x:c r="AD39" s="14" t="str">
        <x:v>wave-1-ahlstrom-freudenberg</x:v>
      </x:c>
    </x:row>
    <x:row r="40">
      <x:c r="A40" s="32" t="str">
        <x:v>OPS-TX-039</x:v>
      </x:c>
      <x:c r="B40" s="32" t="str">
        <x:v>Freudenberg Performance Materials</x:v>
      </x:c>
      <x:c r="C40" s="32" t="str">
        <x:v>Lutradur</x:v>
      </x:c>
      <x:c r="D40" s="32" t="str">
        <x:v>nao_tecido</x:v>
      </x:c>
      <x:c r="E40" s="32" t="str">
        <x:v>spunbond poliéster</x:v>
      </x:c>
      <x:c r="F40" s="32" t="str">
        <x:v>Página técnica oficial; detalhamento adicional sob consulta</x:v>
      </x:c>
      <x:c r="G40" s="32" t="str">
        <x:v>https://www.freudenberg-pm.com/en/brands/lutradur</x:v>
      </x:c>
      <x:c r="H40" s="32" t="str">
        <x:v>Média</x:v>
      </x:c>
      <x:c r="I40" s="32" t="str">
        <x:v>Internacional</x:v>
      </x:c>
      <x:c r="J40" s="32" t="str">
        <x:v>Solicitar amostra ao fabricante/distribuidor</x:v>
      </x:c>
      <x:c r="K40" s="32" t="str">
        <x:v>A solicitar</x:v>
      </x:c>
      <x:c r="L40" s="32" t="str">
        <x:v>Referência localizada</x:v>
      </x:c>
      <x:c r="M40" s="32" t="str">
        <x:v>Candidata</x:v>
      </x:c>
      <x:c r="N40" s="32" t="str">
        <x:v>Operations</x:v>
      </x:c>
      <x:c r="O40" s="32" t="n">
        <x:v>1</x:v>
      </x:c>
      <x:c r="P40" s="32"/>
      <x:c r="Q40" s="32" t="str"/>
      <x:c r="R40" s="32" t="str"/>
      <x:c r="S40" s="32" t="str">
        <x:v>Não revisada</x:v>
      </x:c>
      <x:c r="T40" s="32" t="str">
        <x:v>Confirmar ficha técnica/ensaio e código exato antes da aceitação.</x:v>
      </x:c>
      <x:c r="U40" s="32" t="str">
        <x:v>dimension-revision:structure.family:v0.3</x:v>
      </x:c>
      <x:c r="V40" s="32" t="str">
        <x:v>concept-revision:structure.family.nonwoven:v0.3</x:v>
      </x:c>
      <x:c r="W40" s="32" t="str">
        <x:v>concept-revision:nonwoven.extrusion.spunbond:v0.3</x:v>
      </x:c>
      <x:c r="X40" s="32" t="str">
        <x:v>lead_only_not_asserted</x:v>
      </x:c>
      <x:c r="Y40" s="32" t="str">
        <x:v>textile-sample:ops-tx-039</x:v>
      </x:c>
      <x:c r="Z40" s="32" t="str"/>
      <x:c r="AA40" s="14" t="str"/>
      <x:c r="AB40" s="14" t="str"/>
      <x:c r="AC40" s="14" t="str"/>
      <x:c r="AD40" s="14" t="str">
        <x:v>wave-1-ahlstrom-freudenberg</x:v>
      </x:c>
    </x:row>
    <x:row r="41">
      <x:c r="A41" s="32" t="str">
        <x:v>OPS-TX-040</x:v>
      </x:c>
      <x:c r="B41" s="32" t="str">
        <x:v>Freudenberg Performance Materials</x:v>
      </x:c>
      <x:c r="C41" s="32" t="str">
        <x:v>Terbond</x:v>
      </x:c>
      <x:c r="D41" s="32" t="str">
        <x:v>nao_tecido</x:v>
      </x:c>
      <x:c r="E41" s="32" t="str">
        <x:v>não tecido poliéster</x:v>
      </x:c>
      <x:c r="F41" s="32" t="str">
        <x:v>Página técnica oficial; detalhamento adicional sob consulta</x:v>
      </x:c>
      <x:c r="G41" s="32" t="str">
        <x:v>https://www.freudenberg-pm.com/en/brands/terbond-texbond</x:v>
      </x:c>
      <x:c r="H41" s="32" t="str">
        <x:v>Média</x:v>
      </x:c>
      <x:c r="I41" s="32" t="str">
        <x:v>Internacional</x:v>
      </x:c>
      <x:c r="J41" s="32" t="str">
        <x:v>Solicitar amostra ao fabricante/distribuidor</x:v>
      </x:c>
      <x:c r="K41" s="32" t="str">
        <x:v>A solicitar</x:v>
      </x:c>
      <x:c r="L41" s="32" t="str">
        <x:v>Referência localizada</x:v>
      </x:c>
      <x:c r="M41" s="32" t="str">
        <x:v>Candidata</x:v>
      </x:c>
      <x:c r="N41" s="32" t="str">
        <x:v>Operations</x:v>
      </x:c>
      <x:c r="O41" s="32" t="n">
        <x:v>1</x:v>
      </x:c>
      <x:c r="P41" s="32"/>
      <x:c r="Q41" s="32" t="str"/>
      <x:c r="R41" s="32" t="str"/>
      <x:c r="S41" s="32" t="str">
        <x:v>Não revisada</x:v>
      </x:c>
      <x:c r="T41" s="32" t="str">
        <x:v>Confirmar ficha técnica/ensaio e código exato antes da aceitação.</x:v>
      </x:c>
      <x:c r="U41" s="32" t="str">
        <x:v>dimension-revision:structure.family:v0.3</x:v>
      </x:c>
      <x:c r="V41" s="32" t="str">
        <x:v>concept-revision:structure.family.nonwoven:v0.3</x:v>
      </x:c>
      <x:c r="W41" s="32" t="str"/>
      <x:c r="X41" s="32" t="str">
        <x:v>lead_only_not_asserted</x:v>
      </x:c>
      <x:c r="Y41" s="32" t="str">
        <x:v>textile-sample:ops-tx-040</x:v>
      </x:c>
      <x:c r="Z41" s="32" t="str"/>
      <x:c r="AA41" s="14" t="str"/>
      <x:c r="AB41" s="14" t="str"/>
      <x:c r="AC41" s="14" t="str"/>
      <x:c r="AD41" s="14" t="str">
        <x:v>wave-1-ahlstrom-freudenberg</x:v>
      </x:c>
    </x:row>
    <x:row r="42">
      <x:c r="A42" s="32" t="str">
        <x:v>OPS-TX-041</x:v>
      </x:c>
      <x:c r="B42" s="32" t="str">
        <x:v>Freudenberg Performance Materials</x:v>
      </x:c>
      <x:c r="C42" s="32" t="str">
        <x:v>Texbond</x:v>
      </x:c>
      <x:c r="D42" s="32" t="str">
        <x:v>nao_tecido</x:v>
      </x:c>
      <x:c r="E42" s="32" t="str">
        <x:v>não tecido poliéster reforçado</x:v>
      </x:c>
      <x:c r="F42" s="32" t="str">
        <x:v>Página técnica oficial; detalhamento adicional sob consulta</x:v>
      </x:c>
      <x:c r="G42" s="32" t="str">
        <x:v>https://www.freudenberg-pm.com/en/brands/terbond-texbond</x:v>
      </x:c>
      <x:c r="H42" s="32" t="str">
        <x:v>Média</x:v>
      </x:c>
      <x:c r="I42" s="32" t="str">
        <x:v>Internacional</x:v>
      </x:c>
      <x:c r="J42" s="32" t="str">
        <x:v>Solicitar amostra ao fabricante/distribuidor</x:v>
      </x:c>
      <x:c r="K42" s="32" t="str">
        <x:v>A solicitar</x:v>
      </x:c>
      <x:c r="L42" s="32" t="str">
        <x:v>Referência localizada</x:v>
      </x:c>
      <x:c r="M42" s="32" t="str">
        <x:v>Candidata</x:v>
      </x:c>
      <x:c r="N42" s="32" t="str">
        <x:v>Operations</x:v>
      </x:c>
      <x:c r="O42" s="32" t="n">
        <x:v>1</x:v>
      </x:c>
      <x:c r="P42" s="32"/>
      <x:c r="Q42" s="32" t="str"/>
      <x:c r="R42" s="32" t="str"/>
      <x:c r="S42" s="32" t="str">
        <x:v>Não revisada</x:v>
      </x:c>
      <x:c r="T42" s="32" t="str">
        <x:v>Confirmar ficha técnica/ensaio e código exato antes da aceitação.</x:v>
      </x:c>
      <x:c r="U42" s="32" t="str">
        <x:v>dimension-revision:structure.family:v0.3</x:v>
      </x:c>
      <x:c r="V42" s="32" t="str">
        <x:v>concept-revision:structure.family.nonwoven:v0.3</x:v>
      </x:c>
      <x:c r="W42" s="32" t="str"/>
      <x:c r="X42" s="32" t="str">
        <x:v>lead_only_not_asserted</x:v>
      </x:c>
      <x:c r="Y42" s="32" t="str">
        <x:v>textile-sample:ops-tx-041</x:v>
      </x:c>
      <x:c r="Z42" s="32" t="str"/>
      <x:c r="AA42" s="14" t="str"/>
      <x:c r="AB42" s="14" t="str"/>
      <x:c r="AC42" s="14" t="str"/>
      <x:c r="AD42" s="14" t="str">
        <x:v>wave-1-ahlstrom-freudenberg</x:v>
      </x:c>
    </x:row>
    <x:row r="43">
      <x:c r="A43" s="32" t="str">
        <x:v>OPS-TX-042</x:v>
      </x:c>
      <x:c r="B43" s="32" t="str">
        <x:v>Freudenberg Performance Materials</x:v>
      </x:c>
      <x:c r="C43" s="32" t="str">
        <x:v>comfortemp</x:v>
      </x:c>
      <x:c r="D43" s="32" t="str">
        <x:v>estrutura_composta</x:v>
      </x:c>
      <x:c r="E43" s="32" t="str">
        <x:v>isolamento/PCM em estrutura têxtil</x:v>
      </x:c>
      <x:c r="F43" s="32" t="str">
        <x:v>Página técnica oficial; detalhamento adicional sob consulta</x:v>
      </x:c>
      <x:c r="G43" s="32" t="str">
        <x:v>https://www.freudenberg-pm.com/en</x:v>
      </x:c>
      <x:c r="H43" s="32" t="str">
        <x:v>Média</x:v>
      </x:c>
      <x:c r="I43" s="32" t="str">
        <x:v>Internacional</x:v>
      </x:c>
      <x:c r="J43" s="32" t="str">
        <x:v>Solicitar amostra ao fabricante/distribuidor</x:v>
      </x:c>
      <x:c r="K43" s="32" t="str">
        <x:v>A solicitar</x:v>
      </x:c>
      <x:c r="L43" s="32" t="str">
        <x:v>Referência localizada</x:v>
      </x:c>
      <x:c r="M43" s="32" t="str">
        <x:v>Candidata</x:v>
      </x:c>
      <x:c r="N43" s="32" t="str">
        <x:v>Operations</x:v>
      </x:c>
      <x:c r="O43" s="32" t="n">
        <x:v>1</x:v>
      </x:c>
      <x:c r="P43" s="32"/>
      <x:c r="Q43" s="32" t="str"/>
      <x:c r="R43" s="32" t="str"/>
      <x:c r="S43" s="32" t="str">
        <x:v>Não revisada</x:v>
      </x:c>
      <x:c r="T43" s="32" t="str">
        <x:v>Confirmar ficha técnica/ensaio e código exato antes da aceitação.</x:v>
      </x:c>
      <x:c r="U43" s="32" t="str">
        <x:v>dimension-revision:structure.family:v0.3</x:v>
      </x:c>
      <x:c r="V43" s="32" t="str">
        <x:v>concept-revision:structure.family.composite_structure:v0.3</x:v>
      </x:c>
      <x:c r="W43" s="32" t="str"/>
      <x:c r="X43" s="32" t="str">
        <x:v>lead_only_not_asserted</x:v>
      </x:c>
      <x:c r="Y43" s="32" t="str">
        <x:v>textile-sample:ops-tx-042</x:v>
      </x:c>
      <x:c r="Z43" s="32" t="str"/>
      <x:c r="AA43" s="14" t="str"/>
      <x:c r="AB43" s="14" t="str"/>
      <x:c r="AC43" s="14" t="str"/>
      <x:c r="AD43" s="14" t="str">
        <x:v>wave-1-ahlstrom-freudenberg</x:v>
      </x:c>
    </x:row>
    <x:row r="44">
      <x:c r="A44" s="32" t="str">
        <x:v>OPS-TX-043</x:v>
      </x:c>
      <x:c r="B44" s="32" t="str">
        <x:v>Freudenberg Performance Materials</x:v>
      </x:c>
      <x:c r="C44" s="32" t="str">
        <x:v>Dripstop</x:v>
      </x:c>
      <x:c r="D44" s="32" t="str">
        <x:v>estrutura_composta</x:v>
      </x:c>
      <x:c r="E44" s="32" t="str">
        <x:v>não tecido funcional aplicado a cobertura</x:v>
      </x:c>
      <x:c r="F44" s="32" t="str">
        <x:v>Página técnica oficial; detalhamento adicional sob consulta</x:v>
      </x:c>
      <x:c r="G44" s="32" t="str">
        <x:v>https://www.freudenberg-pm.com/en</x:v>
      </x:c>
      <x:c r="H44" s="32" t="str">
        <x:v>Média</x:v>
      </x:c>
      <x:c r="I44" s="32" t="str">
        <x:v>Internacional</x:v>
      </x:c>
      <x:c r="J44" s="32" t="str">
        <x:v>Solicitar amostra ao fabricante/distribuidor</x:v>
      </x:c>
      <x:c r="K44" s="32" t="str">
        <x:v>A solicitar</x:v>
      </x:c>
      <x:c r="L44" s="32" t="str">
        <x:v>Referência localizada</x:v>
      </x:c>
      <x:c r="M44" s="32" t="str">
        <x:v>Candidata</x:v>
      </x:c>
      <x:c r="N44" s="32" t="str">
        <x:v>Operations</x:v>
      </x:c>
      <x:c r="O44" s="32" t="n">
        <x:v>1</x:v>
      </x:c>
      <x:c r="P44" s="32"/>
      <x:c r="Q44" s="32" t="str"/>
      <x:c r="R44" s="32" t="str"/>
      <x:c r="S44" s="32" t="str">
        <x:v>Não revisada</x:v>
      </x:c>
      <x:c r="T44" s="32" t="str">
        <x:v>Confirmar ficha técnica/ensaio e código exato antes da aceitação.</x:v>
      </x:c>
      <x:c r="U44" s="32" t="str">
        <x:v>dimension-revision:structure.family:v0.3</x:v>
      </x:c>
      <x:c r="V44" s="32" t="str">
        <x:v>concept-revision:structure.family.composite_structure:v0.3</x:v>
      </x:c>
      <x:c r="W44" s="32" t="str"/>
      <x:c r="X44" s="32" t="str">
        <x:v>lead_only_not_asserted</x:v>
      </x:c>
      <x:c r="Y44" s="32" t="str">
        <x:v>textile-sample:ops-tx-043</x:v>
      </x:c>
      <x:c r="Z44" s="32" t="str"/>
      <x:c r="AA44" s="14" t="str"/>
      <x:c r="AB44" s="14" t="str"/>
      <x:c r="AC44" s="14" t="str"/>
      <x:c r="AD44" s="14" t="str">
        <x:v>wave-1-ahlstrom-freudenberg</x:v>
      </x:c>
    </x:row>
    <x:row r="45">
      <x:c r="A45" s="32" t="str">
        <x:v>OPS-TX-044</x:v>
      </x:c>
      <x:c r="B45" s="32" t="str">
        <x:v>Freudenberg Performance Materials</x:v>
      </x:c>
      <x:c r="C45" s="32" t="str">
        <x:v>MehlerHeytex</x:v>
      </x:c>
      <x:c r="D45" s="32" t="str">
        <x:v>estrutura_composta</x:v>
      </x:c>
      <x:c r="E45" s="32" t="str">
        <x:v>têxtil técnico revestido</x:v>
      </x:c>
      <x:c r="F45" s="32" t="str">
        <x:v>Página técnica oficial; detalhamento adicional sob consulta</x:v>
      </x:c>
      <x:c r="G45" s="32" t="str">
        <x:v>https://www.freudenberg-pm.com/en</x:v>
      </x:c>
      <x:c r="H45" s="32" t="str">
        <x:v>Média</x:v>
      </x:c>
      <x:c r="I45" s="32" t="str">
        <x:v>Internacional</x:v>
      </x:c>
      <x:c r="J45" s="32" t="str">
        <x:v>Solicitar amostra ao fabricante/distribuidor</x:v>
      </x:c>
      <x:c r="K45" s="32" t="str">
        <x:v>A solicitar</x:v>
      </x:c>
      <x:c r="L45" s="32" t="str">
        <x:v>Referência localizada</x:v>
      </x:c>
      <x:c r="M45" s="32" t="str">
        <x:v>Candidata</x:v>
      </x:c>
      <x:c r="N45" s="32" t="str">
        <x:v>Operations</x:v>
      </x:c>
      <x:c r="O45" s="32" t="n">
        <x:v>1</x:v>
      </x:c>
      <x:c r="P45" s="32"/>
      <x:c r="Q45" s="32" t="str"/>
      <x:c r="R45" s="32" t="str"/>
      <x:c r="S45" s="32" t="str">
        <x:v>Não revisada</x:v>
      </x:c>
      <x:c r="T45" s="32" t="str">
        <x:v>Confirmar ficha técnica/ensaio e código exato antes da aceitação.</x:v>
      </x:c>
      <x:c r="U45" s="32" t="str">
        <x:v>dimension-revision:structure.family:v0.3</x:v>
      </x:c>
      <x:c r="V45" s="32" t="str">
        <x:v>concept-revision:structure.family.composite_structure:v0.3</x:v>
      </x:c>
      <x:c r="W45" s="32" t="str">
        <x:v>concept-revision:composite.type.coated_structural:v0.3</x:v>
      </x:c>
      <x:c r="X45" s="32" t="str">
        <x:v>lead_only_not_asserted</x:v>
      </x:c>
      <x:c r="Y45" s="32" t="str">
        <x:v>textile-sample:ops-tx-044</x:v>
      </x:c>
      <x:c r="Z45" s="32" t="str"/>
      <x:c r="AA45" s="14" t="str"/>
      <x:c r="AB45" s="14" t="str"/>
      <x:c r="AC45" s="14" t="str"/>
      <x:c r="AD45" s="14" t="str">
        <x:v>wave-1-ahlstrom-freudenberg</x:v>
      </x:c>
    </x:row>
    <x:row r="46">
      <x:c r="A46" s="32" t="str">
        <x:v>OPS-TX-045</x:v>
      </x:c>
      <x:c r="B46" s="32" t="str">
        <x:v>Freudenberg Performance Materials</x:v>
      </x:c>
      <x:c r="C46" s="32" t="str">
        <x:v>Vlieseline</x:v>
      </x:c>
      <x:c r="D46" s="32" t="str">
        <x:v>nao_tecido</x:v>
      </x:c>
      <x:c r="E46" s="32" t="str">
        <x:v>entretela não tecida</x:v>
      </x:c>
      <x:c r="F46" s="32" t="str">
        <x:v>Página técnica oficial; detalhamento adicional sob consulta</x:v>
      </x:c>
      <x:c r="G46" s="32" t="str">
        <x:v>https://www.freudenberg-pm.com/en</x:v>
      </x:c>
      <x:c r="H46" s="32" t="str">
        <x:v>Média</x:v>
      </x:c>
      <x:c r="I46" s="32" t="str">
        <x:v>Internacional</x:v>
      </x:c>
      <x:c r="J46" s="32" t="str">
        <x:v>Solicitar amostra ao fabricante/distribuidor</x:v>
      </x:c>
      <x:c r="K46" s="32" t="str">
        <x:v>A solicitar</x:v>
      </x:c>
      <x:c r="L46" s="32" t="str">
        <x:v>Referência localizada</x:v>
      </x:c>
      <x:c r="M46" s="32" t="str">
        <x:v>Candidata</x:v>
      </x:c>
      <x:c r="N46" s="32" t="str">
        <x:v>Operations</x:v>
      </x:c>
      <x:c r="O46" s="32" t="n">
        <x:v>1</x:v>
      </x:c>
      <x:c r="P46" s="32"/>
      <x:c r="Q46" s="32" t="str"/>
      <x:c r="R46" s="32" t="str"/>
      <x:c r="S46" s="32" t="str">
        <x:v>Não revisada</x:v>
      </x:c>
      <x:c r="T46" s="32" t="str">
        <x:v>Confirmar ficha técnica/ensaio e código exato antes da aceitação.</x:v>
      </x:c>
      <x:c r="U46" s="32" t="str">
        <x:v>dimension-revision:structure.family:v0.3</x:v>
      </x:c>
      <x:c r="V46" s="32" t="str">
        <x:v>concept-revision:structure.family.nonwoven:v0.3</x:v>
      </x:c>
      <x:c r="W46" s="32" t="str"/>
      <x:c r="X46" s="32" t="str">
        <x:v>lead_only_not_asserted</x:v>
      </x:c>
      <x:c r="Y46" s="32" t="str">
        <x:v>textile-sample:ops-tx-045</x:v>
      </x:c>
      <x:c r="Z46" s="32" t="str"/>
      <x:c r="AA46" s="14" t="str"/>
      <x:c r="AB46" s="14" t="str"/>
      <x:c r="AC46" s="14" t="str"/>
      <x:c r="AD46" s="14" t="str">
        <x:v>wave-1-ahlstrom-freudenberg</x:v>
      </x:c>
    </x:row>
    <x:row r="47">
      <x:c r="A47" s="32" t="str">
        <x:v>OPS-TX-046</x:v>
      </x:c>
      <x:c r="B47" s="32" t="str">
        <x:v>Ahlstrom</x:v>
      </x:c>
      <x:c r="C47" s="32" t="str">
        <x:v>Reliance Wetlaid</x:v>
      </x:c>
      <x:c r="D47" s="32" t="str">
        <x:v>nao_tecido</x:v>
      </x:c>
      <x:c r="E47" s="32" t="str">
        <x:v>wetlaid celulose/PET/binder</x:v>
      </x:c>
      <x:c r="F47" s="32" t="str">
        <x:v>Página técnica oficial</x:v>
      </x:c>
      <x:c r="G47" s="32" t="str">
        <x:v>https://www.ahlstrom.com/products/medical-life-sciences-and-laboratory/sterilization-wraps2/reliance-wetlaid-nonwoven/</x:v>
      </x:c>
      <x:c r="H47" s="32" t="str">
        <x:v>Alta</x:v>
      </x:c>
      <x:c r="I47" s="32" t="str">
        <x:v>Internacional</x:v>
      </x:c>
      <x:c r="J47" s="32" t="str">
        <x:v>Solicitar amostra ao fabricante/distribuidor</x:v>
      </x:c>
      <x:c r="K47" s="32" t="str">
        <x:v>A solicitar</x:v>
      </x:c>
      <x:c r="L47" s="32" t="str">
        <x:v>Referência localizada</x:v>
      </x:c>
      <x:c r="M47" s="32" t="str">
        <x:v>Candidata</x:v>
      </x:c>
      <x:c r="N47" s="32" t="str">
        <x:v>Operations</x:v>
      </x:c>
      <x:c r="O47" s="32" t="n">
        <x:v>1</x:v>
      </x:c>
      <x:c r="P47" s="32"/>
      <x:c r="Q47" s="32" t="str"/>
      <x:c r="R47" s="32" t="str"/>
      <x:c r="S47" s="32" t="str">
        <x:v>Não revisada</x:v>
      </x:c>
      <x:c r="T47" s="32" t="str">
        <x:v>Confirmar ficha técnica/ensaio e código exato antes da aceitação.</x:v>
      </x:c>
      <x:c r="U47" s="32" t="str">
        <x:v>dimension-revision:structure.family:v0.3</x:v>
      </x:c>
      <x:c r="V47" s="32" t="str">
        <x:v>concept-revision:structure.family.nonwoven:v0.3</x:v>
      </x:c>
      <x:c r="W47" s="32" t="str">
        <x:v>concept-revision:nonwoven.web_formation.wetlaid:v0.3</x:v>
      </x:c>
      <x:c r="X47" s="32" t="str">
        <x:v>lead_only_not_asserted</x:v>
      </x:c>
      <x:c r="Y47" s="32" t="str">
        <x:v>textile-sample:ops-tx-046</x:v>
      </x:c>
      <x:c r="Z47" s="32" t="str"/>
      <x:c r="AA47" s="14" t="str"/>
      <x:c r="AB47" s="14" t="str"/>
      <x:c r="AC47" s="14" t="str"/>
      <x:c r="AD47" s="14" t="str">
        <x:v>wave-1-ahlstrom-freudenberg</x:v>
      </x:c>
    </x:row>
    <x:row r="48">
      <x:c r="A48" s="32" t="str">
        <x:v>OPS-TX-047</x:v>
      </x:c>
      <x:c r="B48" s="32" t="str">
        <x:v>Ahlstrom</x:v>
      </x:c>
      <x:c r="C48" s="32" t="str">
        <x:v>Reliance Detex</x:v>
      </x:c>
      <x:c r="D48" s="32" t="str">
        <x:v>nao_tecido</x:v>
      </x:c>
      <x:c r="E48" s="32" t="str">
        <x:v>wetlaid celulose/binder/PET</x:v>
      </x:c>
      <x:c r="F48" s="32" t="str">
        <x:v>Página técnica oficial</x:v>
      </x:c>
      <x:c r="G48" s="32" t="str">
        <x:v>https://www.ahlstrom.com/Media/articles/ahlstrom-munksjo-reliance-sms-and-dextex-wetlaid-nonwoven-receive-validation-from-the-french-government/</x:v>
      </x:c>
      <x:c r="H48" s="32" t="str">
        <x:v>Alta</x:v>
      </x:c>
      <x:c r="I48" s="32" t="str">
        <x:v>Internacional</x:v>
      </x:c>
      <x:c r="J48" s="32" t="str">
        <x:v>Solicitar amostra ao fabricante/distribuidor</x:v>
      </x:c>
      <x:c r="K48" s="32" t="str">
        <x:v>A solicitar</x:v>
      </x:c>
      <x:c r="L48" s="32" t="str">
        <x:v>Referência localizada</x:v>
      </x:c>
      <x:c r="M48" s="32" t="str">
        <x:v>Candidata</x:v>
      </x:c>
      <x:c r="N48" s="32" t="str">
        <x:v>Operations</x:v>
      </x:c>
      <x:c r="O48" s="32" t="n">
        <x:v>1</x:v>
      </x:c>
      <x:c r="P48" s="32"/>
      <x:c r="Q48" s="32" t="str"/>
      <x:c r="R48" s="32" t="str"/>
      <x:c r="S48" s="32" t="str">
        <x:v>Não revisada</x:v>
      </x:c>
      <x:c r="T48" s="32" t="str">
        <x:v>Confirmar ficha técnica/ensaio e código exato antes da aceitação.</x:v>
      </x:c>
      <x:c r="U48" s="32" t="str">
        <x:v>dimension-revision:structure.family:v0.3</x:v>
      </x:c>
      <x:c r="V48" s="32" t="str">
        <x:v>concept-revision:structure.family.nonwoven:v0.3</x:v>
      </x:c>
      <x:c r="W48" s="32" t="str">
        <x:v>concept-revision:nonwoven.web_formation.wetlaid:v0.3</x:v>
      </x:c>
      <x:c r="X48" s="32" t="str">
        <x:v>lead_only_not_asserted</x:v>
      </x:c>
      <x:c r="Y48" s="32" t="str">
        <x:v>textile-sample:ops-tx-047</x:v>
      </x:c>
      <x:c r="Z48" s="32" t="str"/>
      <x:c r="AA48" s="14" t="str"/>
      <x:c r="AB48" s="14" t="str"/>
      <x:c r="AC48" s="14" t="str"/>
      <x:c r="AD48" s="14" t="str">
        <x:v>wave-1-ahlstrom-freudenberg</x:v>
      </x:c>
    </x:row>
    <x:row r="49">
      <x:c r="A49" s="32" t="str">
        <x:v>OPS-TX-048</x:v>
      </x:c>
      <x:c r="B49" s="32" t="str">
        <x:v>Ahlstrom</x:v>
      </x:c>
      <x:c r="C49" s="32" t="str">
        <x:v>PureArmor Tri-laminate</x:v>
      </x:c>
      <x:c r="D49" s="32" t="str">
        <x:v>estrutura_composta</x:v>
      </x:c>
      <x:c r="E49" s="32" t="str">
        <x:v>trilaminado não tecido</x:v>
      </x:c>
      <x:c r="F49" s="32" t="str">
        <x:v>Página técnica oficial</x:v>
      </x:c>
      <x:c r="G49" s="32" t="str">
        <x:v>https://www.ahlstrom.com/Media/releases/press-releases2/2017/ahlstrom-munksjo-purearmor-breathable-impervious-nonwoven-fabric-combines-superior-protection-with-great-comfort2/</x:v>
      </x:c>
      <x:c r="H49" s="32" t="str">
        <x:v>Alta</x:v>
      </x:c>
      <x:c r="I49" s="32" t="str">
        <x:v>Internacional</x:v>
      </x:c>
      <x:c r="J49" s="32" t="str">
        <x:v>Solicitar amostra ao fabricante/distribuidor</x:v>
      </x:c>
      <x:c r="K49" s="32" t="str">
        <x:v>A solicitar</x:v>
      </x:c>
      <x:c r="L49" s="32" t="str">
        <x:v>Referência localizada</x:v>
      </x:c>
      <x:c r="M49" s="32" t="str">
        <x:v>Candidata</x:v>
      </x:c>
      <x:c r="N49" s="32" t="str">
        <x:v>Operations</x:v>
      </x:c>
      <x:c r="O49" s="32" t="n">
        <x:v>1</x:v>
      </x:c>
      <x:c r="P49" s="32"/>
      <x:c r="Q49" s="32" t="str"/>
      <x:c r="R49" s="32" t="str"/>
      <x:c r="S49" s="32" t="str">
        <x:v>Não revisada</x:v>
      </x:c>
      <x:c r="T49" s="32" t="str">
        <x:v>Confirmar ficha técnica/ensaio e código exato antes da aceitação.</x:v>
      </x:c>
      <x:c r="U49" s="32" t="str">
        <x:v>dimension-revision:structure.family:v0.3</x:v>
      </x:c>
      <x:c r="V49" s="32" t="str">
        <x:v>concept-revision:structure.family.composite_structure:v0.3</x:v>
      </x:c>
      <x:c r="W49" s="32" t="str">
        <x:v>concept-revision:composite.type.laminated:v0.3</x:v>
      </x:c>
      <x:c r="X49" s="32" t="str">
        <x:v>lead_only_not_asserted</x:v>
      </x:c>
      <x:c r="Y49" s="32" t="str">
        <x:v>textile-sample:ops-tx-048</x:v>
      </x:c>
      <x:c r="Z49" s="32" t="str"/>
      <x:c r="AA49" s="14" t="str"/>
      <x:c r="AB49" s="14" t="str"/>
      <x:c r="AC49" s="14" t="str"/>
      <x:c r="AD49" s="14" t="str">
        <x:v>wave-1-ahlstrom-freudenberg</x:v>
      </x:c>
    </x:row>
    <x:row r="50">
      <x:c r="A50" s="32" t="str">
        <x:v>OPS-TX-049</x:v>
      </x:c>
      <x:c r="B50" s="32" t="str">
        <x:v>Ahlstrom</x:v>
      </x:c>
      <x:c r="C50" s="32" t="str">
        <x:v>Wallstar Satin 180</x:v>
      </x:c>
      <x:c r="D50" s="32" t="str">
        <x:v>nao_tecido</x:v>
      </x:c>
      <x:c r="E50" s="32" t="str">
        <x:v>não tecido para impressão 180 g/m²</x:v>
      </x:c>
      <x:c r="F50" s="32" t="str">
        <x:v>TDS público em PDF</x:v>
      </x:c>
      <x:c r="G50" s="32" t="str">
        <x:v>https://www.ahlstrom.com/globalassets/products/construction-and-furniture-materials/wallcover-and-wall-liner/wallstar-digital-tds---final-brochure-2020.pdf</x:v>
      </x:c>
      <x:c r="H50" s="32" t="str">
        <x:v>Alta</x:v>
      </x:c>
      <x:c r="I50" s="32" t="str">
        <x:v>Internacional</x:v>
      </x:c>
      <x:c r="J50" s="32" t="str">
        <x:v>Solicitar amostra ao fabricante/distribuidor</x:v>
      </x:c>
      <x:c r="K50" s="32" t="str">
        <x:v>A solicitar</x:v>
      </x:c>
      <x:c r="L50" s="32" t="str">
        <x:v>Referência localizada</x:v>
      </x:c>
      <x:c r="M50" s="32" t="str">
        <x:v>Candidata</x:v>
      </x:c>
      <x:c r="N50" s="32" t="str">
        <x:v>Operations</x:v>
      </x:c>
      <x:c r="O50" s="32" t="n">
        <x:v>1</x:v>
      </x:c>
      <x:c r="P50" s="32"/>
      <x:c r="Q50" s="32" t="str"/>
      <x:c r="R50" s="32" t="str"/>
      <x:c r="S50" s="32" t="str">
        <x:v>Não revisada</x:v>
      </x:c>
      <x:c r="T50" s="32" t="str">
        <x:v>Confirmar ficha técnica/ensaio e código exato antes da aceitação.</x:v>
      </x:c>
      <x:c r="U50" s="32" t="str">
        <x:v>dimension-revision:structure.family:v0.3</x:v>
      </x:c>
      <x:c r="V50" s="32" t="str">
        <x:v>concept-revision:structure.family.nonwoven:v0.3</x:v>
      </x:c>
      <x:c r="W50" s="32" t="str"/>
      <x:c r="X50" s="32" t="str">
        <x:v>lead_only_not_asserted</x:v>
      </x:c>
      <x:c r="Y50" s="32" t="str">
        <x:v>textile-sample:ops-tx-049</x:v>
      </x:c>
      <x:c r="Z50" s="32" t="str"/>
      <x:c r="AA50" s="14" t="str"/>
      <x:c r="AB50" s="14" t="str"/>
      <x:c r="AC50" s="14" t="str"/>
      <x:c r="AD50" s="14" t="str">
        <x:v>wave-1-ahlstrom-freudenberg</x:v>
      </x:c>
    </x:row>
    <x:row r="51">
      <x:c r="A51" s="32" t="str">
        <x:v>OPS-TX-050</x:v>
      </x:c>
      <x:c r="B51" s="32" t="str">
        <x:v>Ahlstrom</x:v>
      </x:c>
      <x:c r="C51" s="32" t="str">
        <x:v>Wallstar Matte 147</x:v>
      </x:c>
      <x:c r="D51" s="32" t="str">
        <x:v>nao_tecido</x:v>
      </x:c>
      <x:c r="E51" s="32" t="str">
        <x:v>não tecido para impressão 147 g/m²</x:v>
      </x:c>
      <x:c r="F51" s="32" t="str">
        <x:v>TDS público em PDF</x:v>
      </x:c>
      <x:c r="G51" s="32" t="str">
        <x:v>https://www.ahlstrom.com/globalassets/products/construction-and-furniture-materials/wallcover-and-wall-liner/wallstar-digital-tds---final-brochure-2020.pdf</x:v>
      </x:c>
      <x:c r="H51" s="32" t="str">
        <x:v>Alta</x:v>
      </x:c>
      <x:c r="I51" s="32" t="str">
        <x:v>Internacional</x:v>
      </x:c>
      <x:c r="J51" s="32" t="str">
        <x:v>Solicitar amostra ao fabricante/distribuidor</x:v>
      </x:c>
      <x:c r="K51" s="32" t="str">
        <x:v>A solicitar</x:v>
      </x:c>
      <x:c r="L51" s="32" t="str">
        <x:v>Referência localizada</x:v>
      </x:c>
      <x:c r="M51" s="32" t="str">
        <x:v>Candidata</x:v>
      </x:c>
      <x:c r="N51" s="32" t="str">
        <x:v>Operations</x:v>
      </x:c>
      <x:c r="O51" s="32" t="n">
        <x:v>1</x:v>
      </x:c>
      <x:c r="P51" s="32"/>
      <x:c r="Q51" s="32" t="str"/>
      <x:c r="R51" s="32" t="str"/>
      <x:c r="S51" s="32" t="str">
        <x:v>Não revisada</x:v>
      </x:c>
      <x:c r="T51" s="32" t="str">
        <x:v>Confirmar ficha técnica/ensaio e código exato antes da aceitação.</x:v>
      </x:c>
      <x:c r="U51" s="32" t="str">
        <x:v>dimension-revision:structure.family:v0.3</x:v>
      </x:c>
      <x:c r="V51" s="32" t="str">
        <x:v>concept-revision:structure.family.nonwoven:v0.3</x:v>
      </x:c>
      <x:c r="W51" s="32" t="str"/>
      <x:c r="X51" s="32" t="str">
        <x:v>lead_only_not_asserted</x:v>
      </x:c>
      <x:c r="Y51" s="32" t="str">
        <x:v>textile-sample:ops-tx-050</x:v>
      </x:c>
      <x:c r="Z51" s="32" t="str"/>
      <x:c r="AA51" s="14" t="str"/>
      <x:c r="AB51" s="14" t="str"/>
      <x:c r="AC51" s="14" t="str"/>
      <x:c r="AD51" s="14" t="str">
        <x:v>wave-1-ahlstrom-freudenberg</x:v>
      </x:c>
    </x:row>
    <x:row r="52">
      <x:c r="A52" s="32" t="str">
        <x:v>OPS-TX-051</x:v>
      </x:c>
      <x:c r="B52" s="32" t="str">
        <x:v>Ahlstrom</x:v>
      </x:c>
      <x:c r="C52" s="32" t="str">
        <x:v>Wallstar Fibrous 147</x:v>
      </x:c>
      <x:c r="D52" s="32" t="str">
        <x:v>nao_tecido</x:v>
      </x:c>
      <x:c r="E52" s="32" t="str">
        <x:v>não tecido fibroso 147 g/m²</x:v>
      </x:c>
      <x:c r="F52" s="32" t="str">
        <x:v>TDS público em PDF</x:v>
      </x:c>
      <x:c r="G52" s="32" t="str">
        <x:v>https://www.ahlstrom.com/globalassets/products/construction-and-furniture-materials/wallcover-and-wall-liner/wallstar-digital-tds---final-brochure-2020.pdf</x:v>
      </x:c>
      <x:c r="H52" s="32" t="str">
        <x:v>Alta</x:v>
      </x:c>
      <x:c r="I52" s="32" t="str">
        <x:v>Internacional</x:v>
      </x:c>
      <x:c r="J52" s="32" t="str">
        <x:v>Solicitar amostra ao fabricante/distribuidor</x:v>
      </x:c>
      <x:c r="K52" s="32" t="str">
        <x:v>A solicitar</x:v>
      </x:c>
      <x:c r="L52" s="32" t="str">
        <x:v>Referência localizada</x:v>
      </x:c>
      <x:c r="M52" s="32" t="str">
        <x:v>Candidata</x:v>
      </x:c>
      <x:c r="N52" s="32" t="str">
        <x:v>Operations</x:v>
      </x:c>
      <x:c r="O52" s="32" t="n">
        <x:v>1</x:v>
      </x:c>
      <x:c r="P52" s="32"/>
      <x:c r="Q52" s="32" t="str"/>
      <x:c r="R52" s="32" t="str"/>
      <x:c r="S52" s="32" t="str">
        <x:v>Não revisada</x:v>
      </x:c>
      <x:c r="T52" s="32" t="str">
        <x:v>Confirmar ficha técnica/ensaio e código exato antes da aceitação.</x:v>
      </x:c>
      <x:c r="U52" s="32" t="str">
        <x:v>dimension-revision:structure.family:v0.3</x:v>
      </x:c>
      <x:c r="V52" s="32" t="str">
        <x:v>concept-revision:structure.family.nonwoven:v0.3</x:v>
      </x:c>
      <x:c r="W52" s="32" t="str"/>
      <x:c r="X52" s="32" t="str">
        <x:v>lead_only_not_asserted</x:v>
      </x:c>
      <x:c r="Y52" s="32" t="str">
        <x:v>textile-sample:ops-tx-051</x:v>
      </x:c>
      <x:c r="Z52" s="32" t="str"/>
      <x:c r="AA52" s="14" t="str"/>
      <x:c r="AB52" s="14" t="str"/>
      <x:c r="AC52" s="14" t="str"/>
      <x:c r="AD52" s="14" t="str">
        <x:v>wave-1-ahlstrom-freudenberg</x:v>
      </x:c>
    </x:row>
    <x:row r="53">
      <x:c r="A53" s="32" t="str">
        <x:v>OPS-TX-052</x:v>
      </x:c>
      <x:c r="B53" s="32" t="str">
        <x:v>Ahlstrom</x:v>
      </x:c>
      <x:c r="C53" s="32" t="str">
        <x:v>Medical Barrier Fabric</x:v>
      </x:c>
      <x:c r="D53" s="32" t="str">
        <x:v>nao_tecido</x:v>
      </x:c>
      <x:c r="E53" s="32" t="str">
        <x:v>substrato de barreira médica</x:v>
      </x:c>
      <x:c r="F53" s="32" t="str">
        <x:v>Página técnica oficial</x:v>
      </x:c>
      <x:c r="G53" s="32" t="str">
        <x:v>https://www.ahlstrom.com/products/medical-life-sciences-and-laboratory/</x:v>
      </x:c>
      <x:c r="H53" s="32" t="str">
        <x:v>Alta</x:v>
      </x:c>
      <x:c r="I53" s="32" t="str">
        <x:v>Internacional</x:v>
      </x:c>
      <x:c r="J53" s="32" t="str">
        <x:v>Solicitar amostra ao fabricante/distribuidor</x:v>
      </x:c>
      <x:c r="K53" s="32" t="str">
        <x:v>A solicitar</x:v>
      </x:c>
      <x:c r="L53" s="32" t="str">
        <x:v>Referência localizada</x:v>
      </x:c>
      <x:c r="M53" s="32" t="str">
        <x:v>Candidata</x:v>
      </x:c>
      <x:c r="N53" s="32" t="str">
        <x:v>Operations</x:v>
      </x:c>
      <x:c r="O53" s="32" t="n">
        <x:v>1</x:v>
      </x:c>
      <x:c r="P53" s="32"/>
      <x:c r="Q53" s="32" t="str"/>
      <x:c r="R53" s="32" t="str"/>
      <x:c r="S53" s="32" t="str">
        <x:v>Não revisada</x:v>
      </x:c>
      <x:c r="T53" s="32" t="str">
        <x:v>Confirmar ficha técnica/ensaio e código exato antes da aceitação.</x:v>
      </x:c>
      <x:c r="U53" s="32" t="str">
        <x:v>dimension-revision:structure.family:v0.3</x:v>
      </x:c>
      <x:c r="V53" s="32" t="str">
        <x:v>concept-revision:structure.family.nonwoven:v0.3</x:v>
      </x:c>
      <x:c r="W53" s="32" t="str"/>
      <x:c r="X53" s="32" t="str">
        <x:v>lead_only_not_asserted</x:v>
      </x:c>
      <x:c r="Y53" s="32" t="str">
        <x:v>textile-sample:ops-tx-052</x:v>
      </x:c>
      <x:c r="Z53" s="32" t="str"/>
      <x:c r="AA53" s="14" t="str"/>
      <x:c r="AB53" s="14" t="str"/>
      <x:c r="AC53" s="14" t="str"/>
      <x:c r="AD53" s="14" t="str">
        <x:v>wave-1-ahlstrom-freudenberg</x:v>
      </x:c>
    </x:row>
    <x:row r="54">
      <x:c r="A54" s="32" t="str">
        <x:v>OPS-TX-053</x:v>
      </x:c>
      <x:c r="B54" s="32" t="str">
        <x:v>Ahlstrom</x:v>
      </x:c>
      <x:c r="C54" s="32" t="str">
        <x:v>Sterilization Wrap</x:v>
      </x:c>
      <x:c r="D54" s="32" t="str">
        <x:v>nao_tecido</x:v>
      </x:c>
      <x:c r="E54" s="32" t="str">
        <x:v>não tecido para barreira estéril</x:v>
      </x:c>
      <x:c r="F54" s="32" t="str">
        <x:v>Página técnica oficial</x:v>
      </x:c>
      <x:c r="G54" s="32" t="str">
        <x:v>https://www.ahlstrom.com/products/medical-life-sciences-and-laboratory/</x:v>
      </x:c>
      <x:c r="H54" s="32" t="str">
        <x:v>Alta</x:v>
      </x:c>
      <x:c r="I54" s="32" t="str">
        <x:v>Internacional</x:v>
      </x:c>
      <x:c r="J54" s="32" t="str">
        <x:v>Solicitar amostra ao fabricante/distribuidor</x:v>
      </x:c>
      <x:c r="K54" s="32" t="str">
        <x:v>A solicitar</x:v>
      </x:c>
      <x:c r="L54" s="32" t="str">
        <x:v>Referência localizada</x:v>
      </x:c>
      <x:c r="M54" s="32" t="str">
        <x:v>Candidata</x:v>
      </x:c>
      <x:c r="N54" s="32" t="str">
        <x:v>Operations</x:v>
      </x:c>
      <x:c r="O54" s="32" t="n">
        <x:v>1</x:v>
      </x:c>
      <x:c r="P54" s="32"/>
      <x:c r="Q54" s="32" t="str"/>
      <x:c r="R54" s="32" t="str"/>
      <x:c r="S54" s="32" t="str">
        <x:v>Não revisada</x:v>
      </x:c>
      <x:c r="T54" s="32" t="str">
        <x:v>Confirmar ficha técnica/ensaio e código exato antes da aceitação.</x:v>
      </x:c>
      <x:c r="U54" s="32" t="str">
        <x:v>dimension-revision:structure.family:v0.3</x:v>
      </x:c>
      <x:c r="V54" s="32" t="str">
        <x:v>concept-revision:structure.family.nonwoven:v0.3</x:v>
      </x:c>
      <x:c r="W54" s="32" t="str"/>
      <x:c r="X54" s="32" t="str">
        <x:v>lead_only_not_asserted</x:v>
      </x:c>
      <x:c r="Y54" s="32" t="str">
        <x:v>textile-sample:ops-tx-053</x:v>
      </x:c>
      <x:c r="Z54" s="32" t="str"/>
      <x:c r="AA54" s="14" t="str"/>
      <x:c r="AB54" s="14" t="str"/>
      <x:c r="AC54" s="14" t="str"/>
      <x:c r="AD54" s="14" t="str">
        <x:v>wave-1-ahlstrom-freudenberg</x:v>
      </x:c>
    </x:row>
    <x:row r="55">
      <x:c r="A55" s="32" t="str">
        <x:v>OPS-TX-054</x:v>
      </x:c>
      <x:c r="B55" s="32" t="str">
        <x:v>Ahlstrom</x:v>
      </x:c>
      <x:c r="C55" s="32" t="str">
        <x:v>Wound Care Nonwoven</x:v>
      </x:c>
      <x:c r="D55" s="32" t="str">
        <x:v>nao_tecido</x:v>
      </x:c>
      <x:c r="E55" s="32" t="str">
        <x:v>não tecido para curativos</x:v>
      </x:c>
      <x:c r="F55" s="32" t="str">
        <x:v>Página técnica oficial</x:v>
      </x:c>
      <x:c r="G55" s="32" t="str">
        <x:v>https://www.ahlstrom.com/products/medical-life-sciences-and-laboratory/pharmaceuticals-and-personal-hygiene/wound-care/</x:v>
      </x:c>
      <x:c r="H55" s="32" t="str">
        <x:v>Alta</x:v>
      </x:c>
      <x:c r="I55" s="32" t="str">
        <x:v>Internacional</x:v>
      </x:c>
      <x:c r="J55" s="32" t="str">
        <x:v>Solicitar amostra ao fabricante/distribuidor</x:v>
      </x:c>
      <x:c r="K55" s="32" t="str">
        <x:v>A solicitar</x:v>
      </x:c>
      <x:c r="L55" s="32" t="str">
        <x:v>Referência localizada</x:v>
      </x:c>
      <x:c r="M55" s="32" t="str">
        <x:v>Candidata</x:v>
      </x:c>
      <x:c r="N55" s="32" t="str">
        <x:v>Operations</x:v>
      </x:c>
      <x:c r="O55" s="32" t="n">
        <x:v>1</x:v>
      </x:c>
      <x:c r="P55" s="32"/>
      <x:c r="Q55" s="32" t="str"/>
      <x:c r="R55" s="32" t="str"/>
      <x:c r="S55" s="32" t="str">
        <x:v>Não revisada</x:v>
      </x:c>
      <x:c r="T55" s="32" t="str">
        <x:v>Confirmar ficha técnica/ensaio e código exato antes da aceitação.</x:v>
      </x:c>
      <x:c r="U55" s="32" t="str">
        <x:v>dimension-revision:structure.family:v0.3</x:v>
      </x:c>
      <x:c r="V55" s="32" t="str">
        <x:v>concept-revision:structure.family.nonwoven:v0.3</x:v>
      </x:c>
      <x:c r="W55" s="32" t="str"/>
      <x:c r="X55" s="32" t="str">
        <x:v>lead_only_not_asserted</x:v>
      </x:c>
      <x:c r="Y55" s="32" t="str">
        <x:v>textile-sample:ops-tx-054</x:v>
      </x:c>
      <x:c r="Z55" s="32" t="str"/>
      <x:c r="AA55" s="14" t="str"/>
      <x:c r="AB55" s="14" t="str"/>
      <x:c r="AC55" s="14" t="str"/>
      <x:c r="AD55" s="14" t="str">
        <x:v>wave-1-ahlstrom-freudenberg</x:v>
      </x:c>
    </x:row>
    <x:row r="56">
      <x:c r="A56" s="32" t="str">
        <x:v>OPS-TX-055</x:v>
      </x:c>
      <x:c r="B56" s="32" t="str">
        <x:v>Ahlstrom</x:v>
      </x:c>
      <x:c r="C56" s="32" t="str">
        <x:v>Face Mask Material</x:v>
      </x:c>
      <x:c r="D56" s="32" t="str">
        <x:v>nao_tecido</x:v>
      </x:c>
      <x:c r="E56" s="32" t="str">
        <x:v>substrato para máscaras</x:v>
      </x:c>
      <x:c r="F56" s="32" t="str">
        <x:v>Página técnica oficial</x:v>
      </x:c>
      <x:c r="G56" s="32" t="str">
        <x:v>https://www.ahlstrom.com/products/medical-life-sciences-and-laboratory/</x:v>
      </x:c>
      <x:c r="H56" s="32" t="str">
        <x:v>Alta</x:v>
      </x:c>
      <x:c r="I56" s="32" t="str">
        <x:v>Internacional</x:v>
      </x:c>
      <x:c r="J56" s="32" t="str">
        <x:v>Solicitar amostra ao fabricante/distribuidor</x:v>
      </x:c>
      <x:c r="K56" s="32" t="str">
        <x:v>A solicitar</x:v>
      </x:c>
      <x:c r="L56" s="32" t="str">
        <x:v>Referência localizada</x:v>
      </x:c>
      <x:c r="M56" s="32" t="str">
        <x:v>Candidata</x:v>
      </x:c>
      <x:c r="N56" s="32" t="str">
        <x:v>Operations</x:v>
      </x:c>
      <x:c r="O56" s="32" t="n">
        <x:v>1</x:v>
      </x:c>
      <x:c r="P56" s="32"/>
      <x:c r="Q56" s="32" t="str"/>
      <x:c r="R56" s="32" t="str"/>
      <x:c r="S56" s="32" t="str">
        <x:v>Não revisada</x:v>
      </x:c>
      <x:c r="T56" s="32" t="str">
        <x:v>Confirmar ficha técnica/ensaio e código exato antes da aceitação.</x:v>
      </x:c>
      <x:c r="U56" s="32" t="str">
        <x:v>dimension-revision:structure.family:v0.3</x:v>
      </x:c>
      <x:c r="V56" s="32" t="str">
        <x:v>concept-revision:structure.family.nonwoven:v0.3</x:v>
      </x:c>
      <x:c r="W56" s="32" t="str"/>
      <x:c r="X56" s="32" t="str">
        <x:v>lead_only_not_asserted</x:v>
      </x:c>
      <x:c r="Y56" s="32" t="str">
        <x:v>textile-sample:ops-tx-055</x:v>
      </x:c>
      <x:c r="Z56" s="32" t="str"/>
      <x:c r="AA56" s="14" t="str"/>
      <x:c r="AB56" s="14" t="str"/>
      <x:c r="AC56" s="14" t="str"/>
      <x:c r="AD56" s="14" t="str">
        <x:v>wave-1-ahlstrom-freudenberg</x:v>
      </x:c>
    </x:row>
    <x:row r="57">
      <x:c r="A57" s="32" t="str">
        <x:v>OPS-TX-056</x:v>
      </x:c>
      <x:c r="B57" s="32" t="str">
        <x:v>Carrington Textiles</x:v>
      </x:c>
      <x:c r="C57" s="32" t="str">
        <x:v>Flameshield 230</x:v>
      </x:c>
      <x:c r="D57" s="32" t="str">
        <x:v>tecido_plano</x:v>
      </x:c>
      <x:c r="E57" s="32" t="str">
        <x:v>tecido plano FR 230 g/m²</x:v>
      </x:c>
      <x:c r="F57" s="32" t="str">
        <x:v>Página técnica/certificação oficial; TDS disponível para membros ou sob solicitação</x:v>
      </x:c>
      <x:c r="G57" s="32" t="str">
        <x:v>https://www.carrington.co.uk/en/media/newsroom/flame-retardant-ru-marked-fabrics/</x:v>
      </x:c>
      <x:c r="H57" s="32" t="str">
        <x:v>Alta</x:v>
      </x:c>
      <x:c r="I57" s="32" t="str">
        <x:v>Internacional</x:v>
      </x:c>
      <x:c r="J57" s="32" t="str">
        <x:v>Solicitar amostra ao fabricante/distribuidor</x:v>
      </x:c>
      <x:c r="K57" s="32" t="str">
        <x:v>A solicitar</x:v>
      </x:c>
      <x:c r="L57" s="32" t="str">
        <x:v>Referência localizada</x:v>
      </x:c>
      <x:c r="M57" s="32" t="str">
        <x:v>Candidata</x:v>
      </x:c>
      <x:c r="N57" s="32" t="str">
        <x:v>Operations</x:v>
      </x:c>
      <x:c r="O57" s="32" t="n">
        <x:v>1</x:v>
      </x:c>
      <x:c r="P57" s="32"/>
      <x:c r="Q57" s="32" t="str"/>
      <x:c r="R57" s="32" t="str"/>
      <x:c r="S57" s="32" t="str">
        <x:v>Não revisada</x:v>
      </x:c>
      <x:c r="T57" s="32" t="str">
        <x:v>Confirmar ficha técnica/ensaio e código exato antes da aceitação.</x:v>
      </x:c>
      <x:c r="U57" s="32" t="str">
        <x:v>dimension-revision:structure.family:v0.3</x:v>
      </x:c>
      <x:c r="V57" s="32" t="str">
        <x:v>concept-revision:structure.family.woven_fabric:v0.3</x:v>
      </x:c>
      <x:c r="W57" s="32" t="str"/>
      <x:c r="X57" s="32" t="str">
        <x:v>lead_only_not_asserted</x:v>
      </x:c>
      <x:c r="Y57" s="32" t="str">
        <x:v>textile-sample:ops-tx-056</x:v>
      </x:c>
      <x:c r="Z57" s="32" t="str"/>
      <x:c r="AA57" s="14" t="str"/>
      <x:c r="AB57" s="14" t="str"/>
      <x:c r="AC57" s="14" t="str"/>
      <x:c r="AD57" s="14" t="str">
        <x:v>wave-1-carrington</x:v>
      </x:c>
    </x:row>
    <x:row r="58">
      <x:c r="A58" s="32" t="str">
        <x:v>OPS-TX-057</x:v>
      </x:c>
      <x:c r="B58" s="32" t="str">
        <x:v>Carrington Textiles</x:v>
      </x:c>
      <x:c r="C58" s="32" t="str">
        <x:v>Flameshield 280</x:v>
      </x:c>
      <x:c r="D58" s="32" t="str">
        <x:v>tecido_plano</x:v>
      </x:c>
      <x:c r="E58" s="32" t="str">
        <x:v>tecido plano FR 280 g/m²</x:v>
      </x:c>
      <x:c r="F58" s="32" t="str">
        <x:v>Página técnica/certificação oficial; TDS disponível para membros ou sob solicitação</x:v>
      </x:c>
      <x:c r="G58" s="32" t="str">
        <x:v>https://www.carrington.co.uk/en/media/newsroom/flame-retardant-ru-marked-fabrics/</x:v>
      </x:c>
      <x:c r="H58" s="32" t="str">
        <x:v>Alta</x:v>
      </x:c>
      <x:c r="I58" s="32" t="str">
        <x:v>Internacional</x:v>
      </x:c>
      <x:c r="J58" s="32" t="str">
        <x:v>Solicitar amostra ao fabricante/distribuidor</x:v>
      </x:c>
      <x:c r="K58" s="32" t="str">
        <x:v>A solicitar</x:v>
      </x:c>
      <x:c r="L58" s="32" t="str">
        <x:v>Referência localizada</x:v>
      </x:c>
      <x:c r="M58" s="32" t="str">
        <x:v>Candidata</x:v>
      </x:c>
      <x:c r="N58" s="32" t="str">
        <x:v>Operations</x:v>
      </x:c>
      <x:c r="O58" s="32" t="n">
        <x:v>1</x:v>
      </x:c>
      <x:c r="P58" s="32"/>
      <x:c r="Q58" s="32" t="str"/>
      <x:c r="R58" s="32" t="str"/>
      <x:c r="S58" s="32" t="str">
        <x:v>Não revisada</x:v>
      </x:c>
      <x:c r="T58" s="32" t="str">
        <x:v>Confirmar ficha técnica/ensaio e código exato antes da aceitação.</x:v>
      </x:c>
      <x:c r="U58" s="32" t="str">
        <x:v>dimension-revision:structure.family:v0.3</x:v>
      </x:c>
      <x:c r="V58" s="32" t="str">
        <x:v>concept-revision:structure.family.woven_fabric:v0.3</x:v>
      </x:c>
      <x:c r="W58" s="32" t="str"/>
      <x:c r="X58" s="32" t="str">
        <x:v>lead_only_not_asserted</x:v>
      </x:c>
      <x:c r="Y58" s="32" t="str">
        <x:v>textile-sample:ops-tx-057</x:v>
      </x:c>
      <x:c r="Z58" s="32" t="str"/>
      <x:c r="AA58" s="14" t="str"/>
      <x:c r="AB58" s="14" t="str"/>
      <x:c r="AC58" s="14" t="str"/>
      <x:c r="AD58" s="14" t="str">
        <x:v>wave-1-carrington</x:v>
      </x:c>
    </x:row>
    <x:row r="59">
      <x:c r="A59" s="32" t="str">
        <x:v>OPS-TX-058</x:v>
      </x:c>
      <x:c r="B59" s="32" t="str">
        <x:v>Carrington Textiles</x:v>
      </x:c>
      <x:c r="C59" s="32" t="str">
        <x:v>Flametuff 220AS</x:v>
      </x:c>
      <x:c r="D59" s="32" t="str">
        <x:v>tecido_plano</x:v>
      </x:c>
      <x:c r="E59" s="32" t="str">
        <x:v>tecido plano FR/antistático</x:v>
      </x:c>
      <x:c r="F59" s="32" t="str">
        <x:v>Página técnica/certificação oficial; TDS disponível para membros ou sob solicitação</x:v>
      </x:c>
      <x:c r="G59" s="32" t="str">
        <x:v>https://www.carrington.co.uk/en/media/newsroom/flame-retardant-ru-marked-fabrics/</x:v>
      </x:c>
      <x:c r="H59" s="32" t="str">
        <x:v>Alta</x:v>
      </x:c>
      <x:c r="I59" s="32" t="str">
        <x:v>Internacional</x:v>
      </x:c>
      <x:c r="J59" s="32" t="str">
        <x:v>Solicitar amostra ao fabricante/distribuidor</x:v>
      </x:c>
      <x:c r="K59" s="32" t="str">
        <x:v>A solicitar</x:v>
      </x:c>
      <x:c r="L59" s="32" t="str">
        <x:v>Referência localizada</x:v>
      </x:c>
      <x:c r="M59" s="32" t="str">
        <x:v>Candidata</x:v>
      </x:c>
      <x:c r="N59" s="32" t="str">
        <x:v>Operations</x:v>
      </x:c>
      <x:c r="O59" s="32" t="n">
        <x:v>1</x:v>
      </x:c>
      <x:c r="P59" s="32"/>
      <x:c r="Q59" s="32" t="str"/>
      <x:c r="R59" s="32" t="str"/>
      <x:c r="S59" s="32" t="str">
        <x:v>Não revisada</x:v>
      </x:c>
      <x:c r="T59" s="32" t="str">
        <x:v>Confirmar ficha técnica/ensaio e código exato antes da aceitação.</x:v>
      </x:c>
      <x:c r="U59" s="32" t="str">
        <x:v>dimension-revision:structure.family:v0.3</x:v>
      </x:c>
      <x:c r="V59" s="32" t="str">
        <x:v>concept-revision:structure.family.woven_fabric:v0.3</x:v>
      </x:c>
      <x:c r="W59" s="32" t="str"/>
      <x:c r="X59" s="32" t="str">
        <x:v>lead_only_not_asserted</x:v>
      </x:c>
      <x:c r="Y59" s="32" t="str">
        <x:v>textile-sample:ops-tx-058</x:v>
      </x:c>
      <x:c r="Z59" s="32" t="str"/>
      <x:c r="AA59" s="14" t="str"/>
      <x:c r="AB59" s="14" t="str"/>
      <x:c r="AC59" s="14" t="str"/>
      <x:c r="AD59" s="14" t="str">
        <x:v>wave-1-carrington</x:v>
      </x:c>
    </x:row>
    <x:row r="60">
      <x:c r="A60" s="32" t="str">
        <x:v>OPS-TX-059</x:v>
      </x:c>
      <x:c r="B60" s="32" t="str">
        <x:v>Carrington Textiles</x:v>
      </x:c>
      <x:c r="C60" s="32" t="str">
        <x:v>Satin 330AS</x:v>
      </x:c>
      <x:c r="D60" s="32" t="str">
        <x:v>tecido_plano</x:v>
      </x:c>
      <x:c r="E60" s="32" t="str">
        <x:v>cetim FR/antistático</x:v>
      </x:c>
      <x:c r="F60" s="32" t="str">
        <x:v>Página técnica/certificação oficial; TDS disponível para membros ou sob solicitação</x:v>
      </x:c>
      <x:c r="G60" s="32" t="str">
        <x:v>https://www.carrington.co.uk/en/media/newsroom/flame-retardant-ru-marked-fabrics/</x:v>
      </x:c>
      <x:c r="H60" s="32" t="str">
        <x:v>Alta</x:v>
      </x:c>
      <x:c r="I60" s="32" t="str">
        <x:v>Internacional</x:v>
      </x:c>
      <x:c r="J60" s="32" t="str">
        <x:v>Solicitar amostra ao fabricante/distribuidor</x:v>
      </x:c>
      <x:c r="K60" s="32" t="str">
        <x:v>A solicitar</x:v>
      </x:c>
      <x:c r="L60" s="32" t="str">
        <x:v>Referência localizada</x:v>
      </x:c>
      <x:c r="M60" s="32" t="str">
        <x:v>Candidata</x:v>
      </x:c>
      <x:c r="N60" s="32" t="str">
        <x:v>Operations</x:v>
      </x:c>
      <x:c r="O60" s="32" t="n">
        <x:v>1</x:v>
      </x:c>
      <x:c r="P60" s="32"/>
      <x:c r="Q60" s="32" t="str"/>
      <x:c r="R60" s="32" t="str"/>
      <x:c r="S60" s="32" t="str">
        <x:v>Não revisada</x:v>
      </x:c>
      <x:c r="T60" s="32" t="str">
        <x:v>Confirmar ficha técnica/ensaio e código exato antes da aceitação.</x:v>
      </x:c>
      <x:c r="U60" s="32" t="str">
        <x:v>dimension-revision:structure.family:v0.3</x:v>
      </x:c>
      <x:c r="V60" s="32" t="str">
        <x:v>concept-revision:structure.family.woven_fabric:v0.3</x:v>
      </x:c>
      <x:c r="W60" s="32" t="str">
        <x:v>concept-revision:construction.primary.satin:v0.3</x:v>
      </x:c>
      <x:c r="X60" s="32" t="str">
        <x:v>lead_only_not_asserted</x:v>
      </x:c>
      <x:c r="Y60" s="32" t="str">
        <x:v>textile-sample:ops-tx-059</x:v>
      </x:c>
      <x:c r="Z60" s="32" t="str"/>
      <x:c r="AA60" s="14" t="str"/>
      <x:c r="AB60" s="14" t="str"/>
      <x:c r="AC60" s="14" t="str"/>
      <x:c r="AD60" s="14" t="str">
        <x:v>wave-1-carrington</x:v>
      </x:c>
    </x:row>
    <x:row r="61">
      <x:c r="A61" s="32" t="str">
        <x:v>OPS-TX-060</x:v>
      </x:c>
      <x:c r="B61" s="32" t="str">
        <x:v>Carrington Textiles</x:v>
      </x:c>
      <x:c r="C61" s="32" t="str">
        <x:v>Spartan HT Flex Lite</x:v>
      </x:c>
      <x:c r="D61" s="32" t="str">
        <x:v>tecido_plano</x:v>
      </x:c>
      <x:c r="E61" s="32" t="str">
        <x:v>ripstop elástico 195 g/m²</x:v>
      </x:c>
      <x:c r="F61" s="32" t="str">
        <x:v>Página técnica/certificação oficial; TDS disponível para membros ou sob solicitação</x:v>
      </x:c>
      <x:c r="G61" s="32" t="str">
        <x:v>https://www.carrington.co.uk/en/media/newsroom/carrington-stretch-military-fabric/</x:v>
      </x:c>
      <x:c r="H61" s="32" t="str">
        <x:v>Alta</x:v>
      </x:c>
      <x:c r="I61" s="32" t="str">
        <x:v>Internacional</x:v>
      </x:c>
      <x:c r="J61" s="32" t="str">
        <x:v>Solicitar amostra ao fabricante/distribuidor</x:v>
      </x:c>
      <x:c r="K61" s="32" t="str">
        <x:v>A solicitar</x:v>
      </x:c>
      <x:c r="L61" s="32" t="str">
        <x:v>Referência localizada</x:v>
      </x:c>
      <x:c r="M61" s="32" t="str">
        <x:v>Candidata</x:v>
      </x:c>
      <x:c r="N61" s="32" t="str">
        <x:v>Operations</x:v>
      </x:c>
      <x:c r="O61" s="32" t="n">
        <x:v>1</x:v>
      </x:c>
      <x:c r="P61" s="32"/>
      <x:c r="Q61" s="32" t="str"/>
      <x:c r="R61" s="32" t="str"/>
      <x:c r="S61" s="32" t="str">
        <x:v>Não revisada</x:v>
      </x:c>
      <x:c r="T61" s="32" t="str">
        <x:v>Confirmar ficha técnica/ensaio e código exato antes da aceitação.</x:v>
      </x:c>
      <x:c r="U61" s="32" t="str">
        <x:v>dimension-revision:structure.family:v0.3</x:v>
      </x:c>
      <x:c r="V61" s="32" t="str">
        <x:v>concept-revision:structure.family.woven_fabric:v0.3</x:v>
      </x:c>
      <x:c r="W61" s="32" t="str">
        <x:v>concept-revision:patterning.special_construction.ripstop:v0.3</x:v>
      </x:c>
      <x:c r="X61" s="32" t="str">
        <x:v>lead_only_not_asserted</x:v>
      </x:c>
      <x:c r="Y61" s="32" t="str">
        <x:v>textile-sample:ops-tx-060</x:v>
      </x:c>
      <x:c r="Z61" s="32" t="str"/>
      <x:c r="AA61" s="14" t="str"/>
      <x:c r="AB61" s="14" t="str"/>
      <x:c r="AC61" s="14" t="str"/>
      <x:c r="AD61" s="14" t="str">
        <x:v>wave-1-carrington</x:v>
      </x:c>
    </x:row>
    <x:row r="62">
      <x:c r="A62" s="32" t="str">
        <x:v>OPS-TX-061</x:v>
      </x:c>
      <x:c r="B62" s="32" t="str">
        <x:v>Cedro Têxtil</x:v>
      </x:c>
      <x:c r="C62" s="32" t="str">
        <x:v>CEDRO RIP STOP SUPER</x:v>
      </x:c>
      <x:c r="D62" s="32" t="str">
        <x:v>tecido_plano</x:v>
      </x:c>
      <x:c r="E62" s="32" t="str">
        <x:v>tela 1x1 ripstop; 210 g/m²; 30% CO / 70% PES</x:v>
      </x:c>
      <x:c r="F62" s="32" t="str">
        <x:v>Ficha técnica pública na página oficial</x:v>
      </x:c>
      <x:c r="G62" s="32" t="str">
        <x:v>https://workwear.cedro.com.br/linhas/linha-security/</x:v>
      </x:c>
      <x:c r="H62" s="32" t="str">
        <x:v>Alta</x:v>
      </x:c>
      <x:c r="I62" s="32" t="str">
        <x:v>Brasil</x:v>
      </x:c>
      <x:c r="J62" s="32" t="str">
        <x:v>Contatar representante regional e solicitar retalho identificado</x:v>
      </x:c>
      <x:c r="K62" s="32" t="str">
        <x:v>A solicitar</x:v>
      </x:c>
      <x:c r="L62" s="32" t="str">
        <x:v>Referência localizada</x:v>
      </x:c>
      <x:c r="M62" s="32" t="str">
        <x:v>Candidata</x:v>
      </x:c>
      <x:c r="N62" s="32" t="str">
        <x:v>Operations</x:v>
      </x:c>
      <x:c r="O62" s="32" t="n">
        <x:v>1</x:v>
      </x:c>
      <x:c r="P62" s="32"/>
      <x:c r="Q62" s="32" t="str"/>
      <x:c r="R62" s="32" t="str"/>
      <x:c r="S62" s="32" t="str">
        <x:v>Não revisada</x:v>
      </x:c>
      <x:c r="T62" s="32" t="str">
        <x:v>Priorizar aquisição nacional. Conferir se a ficha vigente corresponde ao lote recebido.</x:v>
      </x:c>
      <x:c r="U62" s="32" t="str">
        <x:v>dimension-revision:structure.family:v0.3</x:v>
      </x:c>
      <x:c r="V62" s="32" t="str">
        <x:v>concept-revision:structure.family.woven_fabric:v0.3</x:v>
      </x:c>
      <x:c r="W62" s="32" t="str">
        <x:v>concept-revision:construction.primary.plain_weave:v0.3; concept-revision:patterning.special_construction.ripstop:v0.3</x:v>
      </x:c>
      <x:c r="X62" s="32" t="str">
        <x:v>lead_only_not_asserted</x:v>
      </x:c>
      <x:c r="Y62" s="32" t="str">
        <x:v>textile-sample:ops-tx-061</x:v>
      </x:c>
      <x:c r="Z62" s="32" t="str"/>
      <x:c r="AA62" s="14" t="str"/>
      <x:c r="AB62" s="14" t="str"/>
      <x:c r="AC62" s="14" t="str"/>
      <x:c r="AD62" s="14" t="str">
        <x:v>wave-1-cedro</x:v>
      </x:c>
    </x:row>
    <x:row r="63">
      <x:c r="A63" s="32" t="str">
        <x:v>OPS-TX-062</x:v>
      </x:c>
      <x:c r="B63" s="32" t="str">
        <x:v>Cedro Têxtil</x:v>
      </x:c>
      <x:c r="C63" s="32" t="str">
        <x:v>CEDROCONFORT RIP STOP II</x:v>
      </x:c>
      <x:c r="D63" s="32" t="str">
        <x:v>tecido_plano</x:v>
      </x:c>
      <x:c r="E63" s="32" t="str">
        <x:v>tela 1x1 ripstop; 235 g/m²; 67% CO / 33% PES</x:v>
      </x:c>
      <x:c r="F63" s="32" t="str">
        <x:v>Ficha técnica pública na página oficial</x:v>
      </x:c>
      <x:c r="G63" s="32" t="str">
        <x:v>https://workwear.cedro.com.br/linhas/linha-security/</x:v>
      </x:c>
      <x:c r="H63" s="32" t="str">
        <x:v>Alta</x:v>
      </x:c>
      <x:c r="I63" s="32" t="str">
        <x:v>Brasil</x:v>
      </x:c>
      <x:c r="J63" s="32" t="str">
        <x:v>Contatar representante regional e solicitar retalho identificado</x:v>
      </x:c>
      <x:c r="K63" s="32" t="str">
        <x:v>A solicitar</x:v>
      </x:c>
      <x:c r="L63" s="32" t="str">
        <x:v>Referência localizada</x:v>
      </x:c>
      <x:c r="M63" s="32" t="str">
        <x:v>Candidata</x:v>
      </x:c>
      <x:c r="N63" s="32" t="str">
        <x:v>Operations</x:v>
      </x:c>
      <x:c r="O63" s="32" t="n">
        <x:v>1</x:v>
      </x:c>
      <x:c r="P63" s="32"/>
      <x:c r="Q63" s="32" t="str"/>
      <x:c r="R63" s="32" t="str"/>
      <x:c r="S63" s="32" t="str">
        <x:v>Não revisada</x:v>
      </x:c>
      <x:c r="T63" s="32" t="str">
        <x:v>Priorizar aquisição nacional. Conferir se a ficha vigente corresponde ao lote recebido.</x:v>
      </x:c>
      <x:c r="U63" s="32" t="str">
        <x:v>dimension-revision:structure.family:v0.3</x:v>
      </x:c>
      <x:c r="V63" s="32" t="str">
        <x:v>concept-revision:structure.family.woven_fabric:v0.3</x:v>
      </x:c>
      <x:c r="W63" s="32" t="str">
        <x:v>concept-revision:construction.primary.plain_weave:v0.3; concept-revision:patterning.special_construction.ripstop:v0.3</x:v>
      </x:c>
      <x:c r="X63" s="32" t="str">
        <x:v>lead_only_not_asserted</x:v>
      </x:c>
      <x:c r="Y63" s="32" t="str">
        <x:v>textile-sample:ops-tx-062</x:v>
      </x:c>
      <x:c r="Z63" s="32" t="str"/>
      <x:c r="AA63" s="14" t="str"/>
      <x:c r="AB63" s="14" t="str"/>
      <x:c r="AC63" s="14" t="str"/>
      <x:c r="AD63" s="14" t="str">
        <x:v>wave-1-cedro</x:v>
      </x:c>
    </x:row>
    <x:row r="64">
      <x:c r="A64" s="32" t="str">
        <x:v>OPS-TX-063</x:v>
      </x:c>
      <x:c r="B64" s="32" t="str">
        <x:v>Cedro Têxtil</x:v>
      </x:c>
      <x:c r="C64" s="32" t="str">
        <x:v>FLEX RIP STOP MAIS</x:v>
      </x:c>
      <x:c r="D64" s="32" t="str">
        <x:v>tecido_plano</x:v>
      </x:c>
      <x:c r="E64" s="32" t="str">
        <x:v>sarja 3x1 ripstop; 235 g/m²; CO/PES/EME</x:v>
      </x:c>
      <x:c r="F64" s="32" t="str">
        <x:v>Ficha técnica pública na página oficial</x:v>
      </x:c>
      <x:c r="G64" s="32" t="str">
        <x:v>https://workwear.cedro.com.br/linhas/linha-security/</x:v>
      </x:c>
      <x:c r="H64" s="32" t="str">
        <x:v>Alta</x:v>
      </x:c>
      <x:c r="I64" s="32" t="str">
        <x:v>Brasil</x:v>
      </x:c>
      <x:c r="J64" s="32" t="str">
        <x:v>Contatar representante regional e solicitar retalho identificado</x:v>
      </x:c>
      <x:c r="K64" s="32" t="str">
        <x:v>A solicitar</x:v>
      </x:c>
      <x:c r="L64" s="32" t="str">
        <x:v>Referência localizada</x:v>
      </x:c>
      <x:c r="M64" s="32" t="str">
        <x:v>Candidata</x:v>
      </x:c>
      <x:c r="N64" s="32" t="str">
        <x:v>Operations</x:v>
      </x:c>
      <x:c r="O64" s="32" t="n">
        <x:v>1</x:v>
      </x:c>
      <x:c r="P64" s="32"/>
      <x:c r="Q64" s="32" t="str"/>
      <x:c r="R64" s="32" t="str"/>
      <x:c r="S64" s="32" t="str">
        <x:v>Não revisada</x:v>
      </x:c>
      <x:c r="T64" s="32" t="str">
        <x:v>Priorizar aquisição nacional. Conferir se a ficha vigente corresponde ao lote recebido.</x:v>
      </x:c>
      <x:c r="U64" s="32" t="str">
        <x:v>dimension-revision:structure.family:v0.3</x:v>
      </x:c>
      <x:c r="V64" s="32" t="str">
        <x:v>concept-revision:structure.family.woven_fabric:v0.3</x:v>
      </x:c>
      <x:c r="W64" s="32" t="str">
        <x:v>concept-revision:construction.primary.twill:v0.3; concept-revision:patterning.special_construction.ripstop:v0.3</x:v>
      </x:c>
      <x:c r="X64" s="32" t="str">
        <x:v>lead_only_not_asserted</x:v>
      </x:c>
      <x:c r="Y64" s="32" t="str">
        <x:v>textile-sample:ops-tx-063</x:v>
      </x:c>
      <x:c r="Z64" s="32" t="str"/>
      <x:c r="AA64" s="14" t="str"/>
      <x:c r="AB64" s="14" t="str"/>
      <x:c r="AC64" s="14" t="str"/>
      <x:c r="AD64" s="14" t="str">
        <x:v>wave-1-cedro</x:v>
      </x:c>
    </x:row>
    <x:row r="65">
      <x:c r="A65" s="32" t="str">
        <x:v>OPS-TX-064</x:v>
      </x:c>
      <x:c r="B65" s="32" t="str">
        <x:v>Cedro Têxtil</x:v>
      </x:c>
      <x:c r="C65" s="32" t="str">
        <x:v>POLYCOTTONCEDRO SUPER II</x:v>
      </x:c>
      <x:c r="D65" s="32" t="str">
        <x:v>tecido_plano</x:v>
      </x:c>
      <x:c r="E65" s="32" t="str">
        <x:v>sarja 2x1; 221 g/m²; 33% CO / 67% PES</x:v>
      </x:c>
      <x:c r="F65" s="32" t="str">
        <x:v>Ficha técnica pública na página oficial</x:v>
      </x:c>
      <x:c r="G65" s="32" t="str">
        <x:v>https://workwear.cedro.com.br/linhas/linha-security/</x:v>
      </x:c>
      <x:c r="H65" s="32" t="str">
        <x:v>Alta</x:v>
      </x:c>
      <x:c r="I65" s="32" t="str">
        <x:v>Brasil</x:v>
      </x:c>
      <x:c r="J65" s="32" t="str">
        <x:v>Contatar representante regional e solicitar retalho identificado</x:v>
      </x:c>
      <x:c r="K65" s="32" t="str">
        <x:v>A solicitar</x:v>
      </x:c>
      <x:c r="L65" s="32" t="str">
        <x:v>Referência localizada</x:v>
      </x:c>
      <x:c r="M65" s="32" t="str">
        <x:v>Candidata</x:v>
      </x:c>
      <x:c r="N65" s="32" t="str">
        <x:v>Operations</x:v>
      </x:c>
      <x:c r="O65" s="32" t="n">
        <x:v>1</x:v>
      </x:c>
      <x:c r="P65" s="32"/>
      <x:c r="Q65" s="32" t="str"/>
      <x:c r="R65" s="32" t="str"/>
      <x:c r="S65" s="32" t="str">
        <x:v>Não revisada</x:v>
      </x:c>
      <x:c r="T65" s="32" t="str">
        <x:v>Priorizar aquisição nacional. Conferir se a ficha vigente corresponde ao lote recebido.</x:v>
      </x:c>
      <x:c r="U65" s="32" t="str">
        <x:v>dimension-revision:structure.family:v0.3</x:v>
      </x:c>
      <x:c r="V65" s="32" t="str">
        <x:v>concept-revision:structure.family.woven_fabric:v0.3</x:v>
      </x:c>
      <x:c r="W65" s="32" t="str">
        <x:v>concept-revision:construction.primary.twill:v0.3</x:v>
      </x:c>
      <x:c r="X65" s="32" t="str">
        <x:v>lead_only_not_asserted</x:v>
      </x:c>
      <x:c r="Y65" s="32" t="str">
        <x:v>textile-sample:ops-tx-064</x:v>
      </x:c>
      <x:c r="Z65" s="32" t="str"/>
      <x:c r="AA65" s="14" t="str"/>
      <x:c r="AB65" s="14" t="str"/>
      <x:c r="AC65" s="14" t="str"/>
      <x:c r="AD65" s="14" t="str">
        <x:v>wave-1-cedro</x:v>
      </x:c>
    </x:row>
    <x:row r="66">
      <x:c r="A66" s="32" t="str">
        <x:v>OPS-TX-065</x:v>
      </x:c>
      <x:c r="B66" s="32" t="str">
        <x:v>Cedro Têxtil</x:v>
      </x:c>
      <x:c r="C66" s="32" t="str">
        <x:v>Kazan Plus</x:v>
      </x:c>
      <x:c r="D66" s="32" t="str">
        <x:v>tecido_plano</x:v>
      </x:c>
      <x:c r="E66" s="32" t="str">
        <x:v>sarja 3x1 Z; 350 g/m²; 98% CO / 2% PUE</x:v>
      </x:c>
      <x:c r="F66" s="32" t="str">
        <x:v>Ficha técnica pública na página oficial</x:v>
      </x:c>
      <x:c r="G66" s="32" t="str">
        <x:v>https://jeanswear.cedro.com.br/produto/elastic/denim-elastic/kazan-plus/</x:v>
      </x:c>
      <x:c r="H66" s="32" t="str">
        <x:v>Alta</x:v>
      </x:c>
      <x:c r="I66" s="32" t="str">
        <x:v>Brasil</x:v>
      </x:c>
      <x:c r="J66" s="32" t="str">
        <x:v>Contatar representante regional e solicitar retalho identificado</x:v>
      </x:c>
      <x:c r="K66" s="32" t="str">
        <x:v>A solicitar</x:v>
      </x:c>
      <x:c r="L66" s="32" t="str">
        <x:v>Referência localizada</x:v>
      </x:c>
      <x:c r="M66" s="32" t="str">
        <x:v>Candidata</x:v>
      </x:c>
      <x:c r="N66" s="32" t="str">
        <x:v>Operations</x:v>
      </x:c>
      <x:c r="O66" s="32" t="n">
        <x:v>1</x:v>
      </x:c>
      <x:c r="P66" s="32"/>
      <x:c r="Q66" s="32" t="str"/>
      <x:c r="R66" s="32" t="str"/>
      <x:c r="S66" s="32" t="str">
        <x:v>Não revisada</x:v>
      </x:c>
      <x:c r="T66" s="32" t="str">
        <x:v>Priorizar aquisição nacional. Conferir se a ficha vigente corresponde ao lote recebido.</x:v>
      </x:c>
      <x:c r="U66" s="32" t="str">
        <x:v>dimension-revision:structure.family:v0.3</x:v>
      </x:c>
      <x:c r="V66" s="32" t="str">
        <x:v>concept-revision:structure.family.woven_fabric:v0.3</x:v>
      </x:c>
      <x:c r="W66" s="32" t="str">
        <x:v>concept-revision:construction.primary.twill:v0.3</x:v>
      </x:c>
      <x:c r="X66" s="32" t="str">
        <x:v>lead_only_not_asserted</x:v>
      </x:c>
      <x:c r="Y66" s="32" t="str">
        <x:v>textile-sample:ops-tx-065</x:v>
      </x:c>
      <x:c r="Z66" s="32" t="str"/>
      <x:c r="AA66" s="14" t="str"/>
      <x:c r="AB66" s="14" t="str"/>
      <x:c r="AC66" s="14" t="str"/>
      <x:c r="AD66" s="14" t="str">
        <x:v>wave-1-cedro</x:v>
      </x:c>
    </x:row>
    <x:row r="67">
      <x:c r="A67" s="32" t="str">
        <x:v>OPS-TX-066</x:v>
      </x:c>
      <x:c r="B67" s="32" t="str">
        <x:v>Cedro Têxtil</x:v>
      </x:c>
      <x:c r="C67" s="32" t="str">
        <x:v>Colorado Stretch</x:v>
      </x:c>
      <x:c r="D67" s="32" t="str">
        <x:v>tecido_plano</x:v>
      </x:c>
      <x:c r="E67" s="32" t="str">
        <x:v>sarja 3x1 Z; 306 g/m²; 98% CO / 2% PUE</x:v>
      </x:c>
      <x:c r="F67" s="32" t="str">
        <x:v>Ficha técnica pública na página oficial</x:v>
      </x:c>
      <x:c r="G67" s="32" t="str">
        <x:v>https://jeanswear.cedro.com.br/produto/elastic/denim-elastic/colorado-stretch/</x:v>
      </x:c>
      <x:c r="H67" s="32" t="str">
        <x:v>Alta</x:v>
      </x:c>
      <x:c r="I67" s="32" t="str">
        <x:v>Brasil</x:v>
      </x:c>
      <x:c r="J67" s="32" t="str">
        <x:v>Contatar representante regional e solicitar retalho identificado</x:v>
      </x:c>
      <x:c r="K67" s="32" t="str">
        <x:v>A solicitar</x:v>
      </x:c>
      <x:c r="L67" s="32" t="str">
        <x:v>Referência localizada</x:v>
      </x:c>
      <x:c r="M67" s="32" t="str">
        <x:v>Candidata</x:v>
      </x:c>
      <x:c r="N67" s="32" t="str">
        <x:v>Operations</x:v>
      </x:c>
      <x:c r="O67" s="32" t="n">
        <x:v>1</x:v>
      </x:c>
      <x:c r="P67" s="32"/>
      <x:c r="Q67" s="32" t="str"/>
      <x:c r="R67" s="32" t="str"/>
      <x:c r="S67" s="32" t="str">
        <x:v>Não revisada</x:v>
      </x:c>
      <x:c r="T67" s="32" t="str">
        <x:v>Priorizar aquisição nacional. Conferir se a ficha vigente corresponde ao lote recebido.</x:v>
      </x:c>
      <x:c r="U67" s="32" t="str">
        <x:v>dimension-revision:structure.family:v0.3</x:v>
      </x:c>
      <x:c r="V67" s="32" t="str">
        <x:v>concept-revision:structure.family.woven_fabric:v0.3</x:v>
      </x:c>
      <x:c r="W67" s="32" t="str">
        <x:v>concept-revision:construction.primary.twill:v0.3</x:v>
      </x:c>
      <x:c r="X67" s="32" t="str">
        <x:v>lead_only_not_asserted</x:v>
      </x:c>
      <x:c r="Y67" s="32" t="str">
        <x:v>textile-sample:ops-tx-066</x:v>
      </x:c>
      <x:c r="Z67" s="32" t="str"/>
      <x:c r="AA67" s="14" t="str"/>
      <x:c r="AB67" s="14" t="str"/>
      <x:c r="AC67" s="14" t="str"/>
      <x:c r="AD67" s="14" t="str">
        <x:v>wave-1-cedro</x:v>
      </x:c>
    </x:row>
    <x:row r="68">
      <x:c r="A68" s="32" t="str">
        <x:v>OPS-TX-067</x:v>
      </x:c>
      <x:c r="B68" s="32" t="str">
        <x:v>Cedro Têxtil</x:v>
      </x:c>
      <x:c r="C68" s="32" t="str">
        <x:v>Aiyunni</x:v>
      </x:c>
      <x:c r="D68" s="32" t="str">
        <x:v>tecido_plano</x:v>
      </x:c>
      <x:c r="E68" s="32" t="str">
        <x:v>sarja 3x1 Z; 297 g/m²; 98% CO / 2% PUE</x:v>
      </x:c>
      <x:c r="F68" s="32" t="str">
        <x:v>Ficha técnica pública na página oficial</x:v>
      </x:c>
      <x:c r="G68" s="32" t="str">
        <x:v>https://jeanswear.cedro.com.br/produto/elastic/denim-elastic/aiyunni/</x:v>
      </x:c>
      <x:c r="H68" s="32" t="str">
        <x:v>Alta</x:v>
      </x:c>
      <x:c r="I68" s="32" t="str">
        <x:v>Brasil</x:v>
      </x:c>
      <x:c r="J68" s="32" t="str">
        <x:v>Contatar representante regional e solicitar retalho identificado</x:v>
      </x:c>
      <x:c r="K68" s="32" t="str">
        <x:v>A solicitar</x:v>
      </x:c>
      <x:c r="L68" s="32" t="str">
        <x:v>Referência localizada</x:v>
      </x:c>
      <x:c r="M68" s="32" t="str">
        <x:v>Candidata</x:v>
      </x:c>
      <x:c r="N68" s="32" t="str">
        <x:v>Operations</x:v>
      </x:c>
      <x:c r="O68" s="32" t="n">
        <x:v>1</x:v>
      </x:c>
      <x:c r="P68" s="32"/>
      <x:c r="Q68" s="32" t="str"/>
      <x:c r="R68" s="32" t="str"/>
      <x:c r="S68" s="32" t="str">
        <x:v>Não revisada</x:v>
      </x:c>
      <x:c r="T68" s="32" t="str">
        <x:v>Priorizar aquisição nacional. Conferir se a ficha vigente corresponde ao lote recebido.</x:v>
      </x:c>
      <x:c r="U68" s="32" t="str">
        <x:v>dimension-revision:structure.family:v0.3</x:v>
      </x:c>
      <x:c r="V68" s="32" t="str">
        <x:v>concept-revision:structure.family.woven_fabric:v0.3</x:v>
      </x:c>
      <x:c r="W68" s="32" t="str">
        <x:v>concept-revision:construction.primary.twill:v0.3</x:v>
      </x:c>
      <x:c r="X68" s="32" t="str">
        <x:v>lead_only_not_asserted</x:v>
      </x:c>
      <x:c r="Y68" s="32" t="str">
        <x:v>textile-sample:ops-tx-067</x:v>
      </x:c>
      <x:c r="Z68" s="32" t="str"/>
      <x:c r="AA68" s="14" t="str"/>
      <x:c r="AB68" s="14" t="str"/>
      <x:c r="AC68" s="14" t="str"/>
      <x:c r="AD68" s="14" t="str">
        <x:v>wave-1-cedro</x:v>
      </x:c>
    </x:row>
    <x:row r="69">
      <x:c r="A69" s="32" t="str">
        <x:v>OPS-TX-068</x:v>
      </x:c>
      <x:c r="B69" s="32" t="str">
        <x:v>Cedro Têxtil</x:v>
      </x:c>
      <x:c r="C69" s="32" t="str">
        <x:v>Kiraz Blue</x:v>
      </x:c>
      <x:c r="D69" s="32" t="str">
        <x:v>tecido_plano</x:v>
      </x:c>
      <x:c r="E69" s="32" t="str">
        <x:v>sarja 3x1 Z; composição mista</x:v>
      </x:c>
      <x:c r="F69" s="32" t="str">
        <x:v>Ficha técnica pública na página oficial</x:v>
      </x:c>
      <x:c r="G69" s="32" t="str">
        <x:v>https://jeanswear.cedro.com.br/produto/elastic/denim-elastic/kiraz-blue/</x:v>
      </x:c>
      <x:c r="H69" s="32" t="str">
        <x:v>Alta</x:v>
      </x:c>
      <x:c r="I69" s="32" t="str">
        <x:v>Brasil</x:v>
      </x:c>
      <x:c r="J69" s="32" t="str">
        <x:v>Contatar representante regional e solicitar retalho identificado</x:v>
      </x:c>
      <x:c r="K69" s="32" t="str">
        <x:v>A solicitar</x:v>
      </x:c>
      <x:c r="L69" s="32" t="str">
        <x:v>Referência localizada</x:v>
      </x:c>
      <x:c r="M69" s="32" t="str">
        <x:v>Candidata</x:v>
      </x:c>
      <x:c r="N69" s="32" t="str">
        <x:v>Operations</x:v>
      </x:c>
      <x:c r="O69" s="32" t="n">
        <x:v>1</x:v>
      </x:c>
      <x:c r="P69" s="32"/>
      <x:c r="Q69" s="32" t="str"/>
      <x:c r="R69" s="32" t="str"/>
      <x:c r="S69" s="32" t="str">
        <x:v>Não revisada</x:v>
      </x:c>
      <x:c r="T69" s="32" t="str">
        <x:v>Priorizar aquisição nacional. Conferir se a ficha vigente corresponde ao lote recebido.</x:v>
      </x:c>
      <x:c r="U69" s="32" t="str">
        <x:v>dimension-revision:structure.family:v0.3</x:v>
      </x:c>
      <x:c r="V69" s="32" t="str">
        <x:v>concept-revision:structure.family.woven_fabric:v0.3</x:v>
      </x:c>
      <x:c r="W69" s="32" t="str">
        <x:v>concept-revision:construction.primary.twill:v0.3</x:v>
      </x:c>
      <x:c r="X69" s="32" t="str">
        <x:v>lead_only_not_asserted</x:v>
      </x:c>
      <x:c r="Y69" s="32" t="str">
        <x:v>textile-sample:ops-tx-068</x:v>
      </x:c>
      <x:c r="Z69" s="32" t="str"/>
      <x:c r="AA69" s="14" t="str"/>
      <x:c r="AB69" s="14" t="str"/>
      <x:c r="AC69" s="14" t="str"/>
      <x:c r="AD69" s="14" t="str">
        <x:v>wave-1-cedro</x:v>
      </x:c>
    </x:row>
    <x:row r="70">
      <x:c r="A70" s="32" t="str">
        <x:v>OPS-TX-069</x:v>
      </x:c>
      <x:c r="B70" s="32" t="str">
        <x:v>Cedro Têxtil</x:v>
      </x:c>
      <x:c r="C70" s="32" t="str">
        <x:v>New Stretch 7oz</x:v>
      </x:c>
      <x:c r="D70" s="32" t="str">
        <x:v>tecido_plano</x:v>
      </x:c>
      <x:c r="E70" s="32" t="str">
        <x:v>sarja 2x1 S; 239 g/m²; 98% CO / 2% PUE</x:v>
      </x:c>
      <x:c r="F70" s="32" t="str">
        <x:v>Ficha técnica pública na página oficial</x:v>
      </x:c>
      <x:c r="G70" s="32" t="str">
        <x:v>https://jeanswear.cedro.com.br/produto/elastic/colours-elastic/new-stretch/</x:v>
      </x:c>
      <x:c r="H70" s="32" t="str">
        <x:v>Alta</x:v>
      </x:c>
      <x:c r="I70" s="32" t="str">
        <x:v>Brasil</x:v>
      </x:c>
      <x:c r="J70" s="32" t="str">
        <x:v>Contatar representante regional e solicitar retalho identificado</x:v>
      </x:c>
      <x:c r="K70" s="32" t="str">
        <x:v>A solicitar</x:v>
      </x:c>
      <x:c r="L70" s="32" t="str">
        <x:v>Referência localizada</x:v>
      </x:c>
      <x:c r="M70" s="32" t="str">
        <x:v>Candidata</x:v>
      </x:c>
      <x:c r="N70" s="32" t="str">
        <x:v>Operations</x:v>
      </x:c>
      <x:c r="O70" s="32" t="n">
        <x:v>1</x:v>
      </x:c>
      <x:c r="P70" s="32"/>
      <x:c r="Q70" s="32" t="str"/>
      <x:c r="R70" s="32" t="str"/>
      <x:c r="S70" s="32" t="str">
        <x:v>Não revisada</x:v>
      </x:c>
      <x:c r="T70" s="32" t="str">
        <x:v>Priorizar aquisição nacional. Conferir se a ficha vigente corresponde ao lote recebido.</x:v>
      </x:c>
      <x:c r="U70" s="32" t="str">
        <x:v>dimension-revision:structure.family:v0.3</x:v>
      </x:c>
      <x:c r="V70" s="32" t="str">
        <x:v>concept-revision:structure.family.woven_fabric:v0.3</x:v>
      </x:c>
      <x:c r="W70" s="32" t="str">
        <x:v>concept-revision:construction.primary.twill:v0.3</x:v>
      </x:c>
      <x:c r="X70" s="32" t="str">
        <x:v>lead_only_not_asserted</x:v>
      </x:c>
      <x:c r="Y70" s="32" t="str">
        <x:v>textile-sample:ops-tx-069</x:v>
      </x:c>
      <x:c r="Z70" s="32" t="str"/>
      <x:c r="AA70" s="14" t="str"/>
      <x:c r="AB70" s="14" t="str"/>
      <x:c r="AC70" s="14" t="str"/>
      <x:c r="AD70" s="14" t="str">
        <x:v>wave-1-cedro</x:v>
      </x:c>
    </x:row>
    <x:row r="71">
      <x:c r="A71" s="32" t="str">
        <x:v>OPS-TX-070</x:v>
      </x:c>
      <x:c r="B71" s="32" t="str">
        <x:v>Cedro Têxtil</x:v>
      </x:c>
      <x:c r="C71" s="32" t="str">
        <x:v>New Flex 8,3oz</x:v>
      </x:c>
      <x:c r="D71" s="32" t="str">
        <x:v>tecido_plano</x:v>
      </x:c>
      <x:c r="E71" s="32" t="str">
        <x:v>sarja elastizada; ficha técnica pública</x:v>
      </x:c>
      <x:c r="F71" s="32" t="str">
        <x:v>Ficha técnica pública na página oficial</x:v>
      </x:c>
      <x:c r="G71" s="32" t="str">
        <x:v>https://jeanswear.cedro.com.br/produto/elastic/colours-elastic/new-flex/</x:v>
      </x:c>
      <x:c r="H71" s="32" t="str">
        <x:v>Alta</x:v>
      </x:c>
      <x:c r="I71" s="32" t="str">
        <x:v>Brasil</x:v>
      </x:c>
      <x:c r="J71" s="32" t="str">
        <x:v>Contatar representante regional e solicitar retalho identificado</x:v>
      </x:c>
      <x:c r="K71" s="32" t="str">
        <x:v>A solicitar</x:v>
      </x:c>
      <x:c r="L71" s="32" t="str">
        <x:v>Referência localizada</x:v>
      </x:c>
      <x:c r="M71" s="32" t="str">
        <x:v>Candidata</x:v>
      </x:c>
      <x:c r="N71" s="32" t="str">
        <x:v>Operations</x:v>
      </x:c>
      <x:c r="O71" s="32" t="n">
        <x:v>1</x:v>
      </x:c>
      <x:c r="P71" s="32"/>
      <x:c r="Q71" s="32" t="str"/>
      <x:c r="R71" s="32" t="str"/>
      <x:c r="S71" s="32" t="str">
        <x:v>Não revisada</x:v>
      </x:c>
      <x:c r="T71" s="32" t="str">
        <x:v>Priorizar aquisição nacional. Conferir se a ficha vigente corresponde ao lote recebido.</x:v>
      </x:c>
      <x:c r="U71" s="32" t="str">
        <x:v>dimension-revision:structure.family:v0.3</x:v>
      </x:c>
      <x:c r="V71" s="32" t="str">
        <x:v>concept-revision:structure.family.woven_fabric:v0.3</x:v>
      </x:c>
      <x:c r="W71" s="32" t="str">
        <x:v>concept-revision:construction.primary.twill:v0.3</x:v>
      </x:c>
      <x:c r="X71" s="32" t="str">
        <x:v>lead_only_not_asserted</x:v>
      </x:c>
      <x:c r="Y71" s="32" t="str">
        <x:v>textile-sample:ops-tx-070</x:v>
      </x:c>
      <x:c r="Z71" s="32" t="str"/>
      <x:c r="AA71" s="14" t="str"/>
      <x:c r="AB71" s="14" t="str"/>
      <x:c r="AC71" s="14" t="str"/>
      <x:c r="AD71" s="14" t="str">
        <x:v>wave-1-cedro</x:v>
      </x:c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</x:sheetData>
  <x:conditionalFormatting sqref="H2:H200">
    <x:cfRule type="expression" dxfId="0" priority="1">
      <x:formula>H2="Alta"</x:formula>
    </x:cfRule>
  </x:conditionalFormatting>
  <x:conditionalFormatting sqref="K2:K200">
    <x:cfRule type="expression" dxfId="1" priority="2">
      <x:formula>K2="Recebida"</x:formula>
    </x:cfRule>
  </x:conditionalFormatting>
  <x:conditionalFormatting sqref="M2:M200">
    <x:cfRule type="expression" dxfId="2" priority="3">
      <x:formula>M2="Aceita"</x:formula>
    </x:cfRule>
    <x:cfRule type="expression" dxfId="3" priority="4">
      <x:formula>M2="Rejeitada"</x:formula>
    </x:cfRule>
  </x:conditionalFormatting>
  <x:conditionalFormatting sqref="S2:S200">
    <x:cfRule type="expression" dxfId="4" priority="5">
      <x:formula>S2="Aprovada"</x:formula>
    </x:cfRule>
  </x:conditionalFormatting>
  <x:conditionalFormatting sqref="X2:X200">
    <x:cfRule type="expression" dxfId="6" priority="6">
      <x:formula>X2="accepted_gold"</x:formula>
    </x:cfRule>
    <x:cfRule type="expression" dxfId="7" priority="7">
      <x:formula>X2="lead_only_not_asserted"</x:formula>
    </x:cfRule>
  </x:conditionalFormatting>
  <x:dataValidations count="7">
    <x:dataValidation type="list" sqref="H2:H200">
      <x:formula1>"Alta,Média,Baixa"</x:formula1>
    </x:dataValidation>
    <x:dataValidation type="list" sqref="K2:K200">
      <x:formula1>"A solicitar,Solicitada,Recebida,Recusada"</x:formula1>
    </x:dataValidation>
    <x:dataValidation type="list" sqref="L2:L200">
      <x:formula1>"Referência localizada,Documento solicitado,Documento recebido,Documento validado,Documento insuficiente"</x:formula1>
    </x:dataValidation>
    <x:dataValidation type="list" sqref="M2:M200">
      <x:formula1>"Candidata,Pré-selecionada,Aceita,Rejeitada,Arquivada"</x:formula1>
    </x:dataValidation>
    <x:dataValidation type="list" sqref="S2:S200">
      <x:formula1>"Não revisada,Em revisão,Aprovada,Reprovada"</x:formula1>
    </x:dataValidation>
    <x:dataValidation type="list" sqref="D2:D200">
      <x:formula1>"tecido_plano,malha_trama,malha_urdume,nao_tecido,estrutura_composta,entrelacado_trancado,costurado_stitch_bonded,indeterminado"</x:formula1>
    </x:dataValidation>
    <x:dataValidation type="list" sqref="U2:AD200">
      <x:formula1>"lead_only_not_asserted,evidence_received,asserted_unreviewed,reviewed,accepted_gold,rejected"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3a63f3833d134c5c"/>
    <x:tablePart xmlns:r="http://schemas.openxmlformats.org/officeDocument/2006/relationships" r:id="Rca3cda5da09149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52" hidden="0" customWidth="1"/>
  </x:cols>
  <x:sheetData>
    <x:row r="1">
      <x:c r="A1" s="47" t="str">
        <x:v>Família estrutural alvo</x:v>
      </x:c>
      <x:c r="B1" s="47" t="str">
        <x:v>Quantidade planejada</x:v>
      </x:c>
      <x:c r="C1" s="47" t="str">
        <x:v>Mínimo recomendado</x:v>
      </x:c>
      <x:c r="D1" s="47" t="str">
        <x:v>Gap</x:v>
      </x:c>
      <x:c r="E1" s="47" t="str">
        <x:v>Observação</x:v>
      </x:c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12" t="str">
        <x:v>tecido_plano</x:v>
      </x:c>
      <x:c r="B2" s="12" t="n">
        <x:v>27</x:v>
      </x:c>
      <x:c r="C2" s="12" t="n">
        <x:v>15</x:v>
      </x:c>
      <x:c r="D2" s="12" t="n">
        <x:v>12</x:v>
      </x:c>
      <x:c r="E2" s="12" t="str">
        <x:v>Planejamento; confirmar após recebimento e revisão documental</x:v>
      </x:c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12" t="str">
        <x:v>malha_trama</x:v>
      </x:c>
      <x:c r="B3" s="12" t="n">
        <x:v>18</x:v>
      </x:c>
      <x:c r="C3" s="12" t="n">
        <x:v>15</x:v>
      </x:c>
      <x:c r="D3" s="12" t="n">
        <x:v>3</x:v>
      </x:c>
      <x:c r="E3" s="12" t="str">
        <x:v>Planejamento; confirmar após recebimento e revisão documental</x:v>
      </x:c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12" t="str">
        <x:v>malha_urdume</x:v>
      </x:c>
      <x:c r="B4" s="12" t="n">
        <x:v>0</x:v>
      </x:c>
      <x:c r="C4" s="12" t="n">
        <x:v>3</x:v>
      </x:c>
      <x:c r="D4" s="12" t="n">
        <x:v>-3</x:v>
      </x:c>
      <x:c r="E4" s="12" t="str">
        <x:v>Lacuna; leads técnicos adicionados, ainda fora das 70 candidatas</x:v>
      </x:c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12" t="str">
        <x:v>nao_tecido</x:v>
      </x:c>
      <x:c r="B5" s="12" t="n">
        <x:v>16</x:v>
      </x:c>
      <x:c r="C5" s="12" t="n">
        <x:v>12</x:v>
      </x:c>
      <x:c r="D5" s="12" t="n">
        <x:v>4</x:v>
      </x:c>
      <x:c r="E5" s="12" t="str">
        <x:v>Planejamento; confirmar após recebimento e revisão documental</x:v>
      </x:c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s="12" t="str">
        <x:v>estrutura_composta</x:v>
      </x:c>
      <x:c r="B6" s="12" t="n">
        <x:v>8</x:v>
      </x:c>
      <x:c r="C6" s="12" t="n">
        <x:v>6</x:v>
      </x:c>
      <x:c r="D6" s="12" t="n">
        <x:v>2</x:v>
      </x:c>
      <x:c r="E6" s="12" t="str">
        <x:v>Planejamento; confirmar após recebimento e revisão documental</x:v>
      </x:c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s="12" t="str">
        <x:v>entrelacado_trancado</x:v>
      </x:c>
      <x:c r="B7" s="12" t="n">
        <x:v>1</x:v>
      </x:c>
      <x:c r="C7" s="12" t="n">
        <x:v>1</x:v>
      </x:c>
      <x:c r="D7" s="12" t="n">
        <x:v>0</x:v>
      </x:c>
      <x:c r="E7" s="12" t="str">
        <x:v>Planejamento; confirmar após recebimento e revisão documental</x:v>
      </x:c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12" t="str">
        <x:v>costurado_stitch_bonded</x:v>
      </x:c>
      <x:c r="B8" s="12" t="n">
        <x:v>0</x:v>
      </x:c>
      <x:c r="C8" s="12" t="n">
        <x:v>2</x:v>
      </x:c>
      <x:c r="D8" s="12" t="n">
        <x:v>-2</x:v>
      </x:c>
      <x:c r="E8" s="12" t="str">
        <x:v>Lacuna; leads técnicos adicionados, ainda fora das 70 candidatas</x:v>
      </x:c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 s="47" t="str">
        <x:v>Fornecedor</x:v>
      </x:c>
      <x:c r="B11" s="47" t="str">
        <x:v>Candidatas</x:v>
      </x:c>
      <x:c r="C11" s="47" t="str">
        <x:v>Status documental inicial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 s="12" t="str">
        <x:v>Polartec</x:v>
      </x:c>
      <x:c r="B12" s="12" t="n">
        <x:v>20</x:v>
      </x:c>
      <x:c r="C12" s="12" t="str">
        <x:v>Lead comercial; documento final não recebido</x:v>
      </x:c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 s="12" t="str">
        <x:v>CORDURA / INVISTA</x:v>
      </x:c>
      <x:c r="B13" s="12" t="n">
        <x:v>15</x:v>
      </x:c>
      <x:c r="C13" s="12" t="str">
        <x:v>Lead comercial; documento final não recebido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 s="12" t="str">
        <x:v>Freudenberg Performance Materials</x:v>
      </x:c>
      <x:c r="B14" s="12" t="n">
        <x:v>10</x:v>
      </x:c>
      <x:c r="C14" s="12" t="str">
        <x:v>Lead comercial; documento final não recebido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 s="12" t="str">
        <x:v>Ahlstrom</x:v>
      </x:c>
      <x:c r="B15" s="12" t="n">
        <x:v>10</x:v>
      </x:c>
      <x:c r="C15" s="12" t="str">
        <x:v>Lead comercial; documento final não recebido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 s="12" t="str">
        <x:v>Carrington Textiles</x:v>
      </x:c>
      <x:c r="B16" s="12" t="n">
        <x:v>5</x:v>
      </x:c>
      <x:c r="C16" s="12" t="str">
        <x:v>Lead comercial; documento final não recebido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 s="12" t="str">
        <x:v>Cedro Têxtil</x:v>
      </x:c>
      <x:c r="B17" s="12" t="n">
        <x:v>10</x:v>
      </x:c>
      <x:c r="C17" s="12" t="str">
        <x:v>Lead comercial; algumas fichas públicas localizadas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</x:sheetData>
  <x:conditionalFormatting sqref="D2:D10">
    <x:cfRule type="cellIs" dxfId="5" priority="1" operator="lessThan">
      <x:formula>0</x:formula>
    </x:cfRule>
  </x:conditionalFormatting>
  <x:conditionalFormatting sqref="D2:D8">
    <x:cfRule type="cellIs" dxfId="8" priority="2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45" hidden="0" customWidth="1"/>
    <x:col min="4" max="4" width="34" hidden="0" customWidth="1"/>
    <x:col min="5" max="5" width="38" hidden="0" customWidth="1"/>
  </x:cols>
  <x:sheetData>
    <x:row r="1">
      <x:c r="A1" s="52" t="str">
        <x:v>Etapa</x:v>
      </x:c>
      <x:c r="B1" s="52" t="str">
        <x:v>Responsável</x:v>
      </x:c>
      <x:c r="C1" s="52" t="str">
        <x:v>Ação</x:v>
      </x:c>
      <x:c r="D1" s="52" t="str">
        <x:v>Saída obrigatória</x:v>
      </x:c>
      <x:c r="E1" s="52" t="str">
        <x:v>Critério de bloqueio</x:v>
      </x:c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27" t="str">
        <x:v>1. Seleção</x:v>
      </x:c>
      <x:c r="B2" s="27" t="str">
        <x:v>Operations</x:v>
      </x:c>
      <x:c r="C2" s="27" t="str">
        <x:v>Selecionar candidata conforme matriz de diversidade</x:v>
      </x:c>
      <x:c r="D2" s="27" t="str">
        <x:v>ID OPS-TX reservado</x:v>
      </x:c>
      <x:c r="E2" s="27" t="str">
        <x:v>Duplicidade ou família super-representada</x:v>
      </x:c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27" t="str">
        <x:v>2. Solicitação</x:v>
      </x:c>
      <x:c r="B3" s="27" t="str">
        <x:v>Operations</x:v>
      </x:c>
      <x:c r="C3" s="27" t="str">
        <x:v>Solicitar retalho e documento ao fornecedor</x:v>
      </x:c>
      <x:c r="D3" s="27" t="str">
        <x:v>Protocolo de contato</x:v>
      </x:c>
      <x:c r="E3" s="27" t="str">
        <x:v>Fornecedor não confirma identidade da amostra</x:v>
      </x:c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27" t="str">
        <x:v>3. Recebimento</x:v>
      </x:c>
      <x:c r="B4" s="27" t="str">
        <x:v>Operations</x:v>
      </x:c>
      <x:c r="C4" s="27" t="str">
        <x:v>Fotografar embalagem, etiqueta e amostra</x:v>
      </x:c>
      <x:c r="D4" s="27" t="str">
        <x:v>Amostra física identificada</x:v>
      </x:c>
      <x:c r="E4" s="27" t="str">
        <x:v>Amostra sem código, lote ou origem</x:v>
      </x:c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27" t="str">
        <x:v>4. Documento</x:v>
      </x:c>
      <x:c r="B5" s="27" t="str">
        <x:v>Operations + Certification</x:v>
      </x:c>
      <x:c r="C5" s="27" t="str">
        <x:v>Salvar ficha técnica/ensaio original</x:v>
      </x:c>
      <x:c r="D5" s="27" t="str">
        <x:v>Arquivo + URL + hash</x:v>
      </x:c>
      <x:c r="E5" s="27" t="str">
        <x:v>Somente página comercial sem dados mínimos</x:v>
      </x:c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s="27" t="str">
        <x:v>5. Intake</x:v>
      </x:c>
      <x:c r="B6" s="27" t="str">
        <x:v>Data Platform</x:v>
      </x:c>
      <x:c r="C6" s="27" t="str">
        <x:v>Criar registro e vincular artefatos</x:v>
      </x:c>
      <x:c r="D6" s="27" t="str">
        <x:v>Manifesto da amostra</x:v>
      </x:c>
      <x:c r="E6" s="27" t="str">
        <x:v>IDs ou referências quebradas</x:v>
      </x:c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s="27" t="str">
        <x:v>6. Revisão</x:v>
      </x:c>
      <x:c r="B7" s="27" t="str">
        <x:v>Certification</x:v>
      </x:c>
      <x:c r="C7" s="27" t="str">
        <x:v>Avaliar autenticidade, relevância e suficiência</x:v>
      </x:c>
      <x:c r="D7" s="27" t="str">
        <x:v>Review accepted/corrected/rejected</x:v>
      </x:c>
      <x:c r="E7" s="27" t="str">
        <x:v>Evidência conflitante ou insuficiente</x:v>
      </x:c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27" t="str">
        <x:v>7. Aceitação</x:v>
      </x:c>
      <x:c r="B8" s="27" t="str">
        <x:v>Founder/Product &amp; Data</x:v>
      </x:c>
      <x:c r="C8" s="27" t="str">
        <x:v>Aprovar inclusão no dataset</x:v>
      </x:c>
      <x:c r="D8" s="27" t="str">
        <x:v>Status Aceita</x:v>
      </x:c>
      <x:c r="E8" s="27" t="str">
        <x:v>Qualquer gate obrigatório pendente</x:v>
      </x:c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 s="27" t="str">
        <x:v>8. Captura</x:v>
      </x:c>
      <x:c r="B9" s="27" t="str">
        <x:v>Operations</x:v>
      </x:c>
      <x:c r="C9" s="27" t="str">
        <x:v>Produzir protocolo fotográfico padronizado</x:v>
      </x:c>
      <x:c r="D9" s="27" t="str">
        <x:v>Imagens controladas</x:v>
      </x:c>
      <x:c r="E9" s="27" t="str">
        <x:v>Luz, escala ou foco insuficientes</x:v>
      </x:c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 s="47" t="str">
        <x:v>Gate</x:v>
      </x:c>
      <x:c r="B10" s="47" t="str">
        <x:v>Responsável</x:v>
      </x:c>
      <x:c r="C10" s="47" t="str">
        <x:v>Ação</x:v>
      </x:c>
      <x:c r="D10" s="47" t="str">
        <x:v>Saída obrigatória</x:v>
      </x:c>
      <x:c r="E10" s="47" t="str">
        <x:v>Critério de bloqueio</x:v>
      </x:c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 s="12" t="str">
        <x:v>9. Grafo</x:v>
      </x:c>
      <x:c r="B11" s="12" t="str">
        <x:v>Data Platform</x:v>
      </x:c>
      <x:c r="C11" s="12" t="str">
        <x:v>Criar TextileSample e Evidence</x:v>
      </x:c>
      <x:c r="D11" s="12" t="str">
        <x:v>IDs persistidos</x:v>
      </x:c>
      <x:c r="E11" s="12" t="str">
        <x:v>Referências quebradas</x:v>
      </x:c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 s="12" t="str">
        <x:v>10. Assertion</x:v>
      </x:c>
      <x:c r="B12" s="12" t="str">
        <x:v>Data Platform + Certification</x:v>
      </x:c>
      <x:c r="C12" s="12" t="str">
        <x:v>Criar apenas com evidência aplicável</x:v>
      </x:c>
      <x:c r="D12" s="12" t="str">
        <x:v>Assertion versionada</x:v>
      </x:c>
      <x:c r="E12" s="12" t="str">
        <x:v>Lead comercial tratado como fato</x:v>
      </x:c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 s="12" t="str">
        <x:v>11. Revisão</x:v>
      </x:c>
      <x:c r="B13" s="12" t="str">
        <x:v>Certification</x:v>
      </x:c>
      <x:c r="C13" s="12" t="str">
        <x:v>Revisar autenticidade e relevância</x:v>
      </x:c>
      <x:c r="D13" s="12" t="str">
        <x:v>Review</x:v>
      </x:c>
      <x:c r="E13" s="12" t="str">
        <x:v>Evidência insuficiente ou conflitante</x:v>
      </x:c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 s="12" t="str">
        <x:v>12. Conjunto ouro</x:v>
      </x:c>
      <x:c r="B14" s="12" t="str">
        <x:v>Founder/Product &amp; Data</x:v>
      </x:c>
      <x:c r="C14" s="12" t="str">
        <x:v>Registrar DatasetIntakeDecision</x:v>
      </x:c>
      <x:c r="D14" s="12" t="str">
        <x:v>accept/reject/request_more_evidence</x:v>
      </x:c>
      <x:c r="E14" s="12" t="str">
        <x:v>Gate obrigatório pendente</x:v>
      </x:c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30" hidden="0" customWidth="1"/>
    <x:col min="4" max="4" width="34" hidden="0" customWidth="1"/>
    <x:col min="5" max="5" width="42" hidden="0" customWidth="1"/>
  </x:cols>
  <x:sheetData>
    <x:row r="1">
      <x:c r="A1" s="26" t="str">
        <x:v>Campo</x:v>
      </x:c>
      <x:c r="B1" s="26" t="str">
        <x:v>Obrigatório</x:v>
      </x:c>
      <x:c r="C1" s="26" t="str">
        <x:v>Fonte preferencial</x:v>
      </x:c>
      <x:c r="D1" s="26" t="str">
        <x:v>Validação</x:v>
      </x:c>
      <x:c r="E1" s="26" t="str">
        <x:v>Observação</x:v>
      </x:c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27" t="str">
        <x:v>sample_id</x:v>
      </x:c>
      <x:c r="B2" s="27" t="str">
        <x:v>Sim</x:v>
      </x:c>
      <x:c r="C2" s="27" t="str">
        <x:v>Gerado pela PHYLLOS</x:v>
      </x:c>
      <x:c r="D2" s="27" t="str">
        <x:v>Único</x:v>
      </x:c>
      <x:c r="E2" s="27" t="str">
        <x:v>Não reutilizar</x:v>
      </x:c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27" t="str">
        <x:v>supplier</x:v>
      </x:c>
      <x:c r="B3" s="27" t="str">
        <x:v>Sim</x:v>
      </x:c>
      <x:c r="C3" s="27" t="str">
        <x:v>Documento/embalagem</x:v>
      </x:c>
      <x:c r="D3" s="27" t="str">
        <x:v>Nome legal ou comercial verificável</x:v>
      </x:c>
      <x:c r="E3" s="27" t="str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27" t="str">
        <x:v>supplier_product_code</x:v>
      </x:c>
      <x:c r="B4" s="27" t="str">
        <x:v>Sim</x:v>
      </x:c>
      <x:c r="C4" s="27" t="str">
        <x:v>Ficha técnica/etiqueta</x:v>
      </x:c>
      <x:c r="D4" s="27" t="str">
        <x:v>Coincide com a amostra</x:v>
      </x:c>
      <x:c r="E4" s="27" t="str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27" t="str">
        <x:v>batch_or_lot</x:v>
      </x:c>
      <x:c r="B5" s="27" t="str">
        <x:v>Desejável</x:v>
      </x:c>
      <x:c r="C5" s="27" t="str">
        <x:v>Etiqueta/nota</x:v>
      </x:c>
      <x:c r="D5" s="27" t="str">
        <x:v>Preservar quando disponível</x:v>
      </x:c>
      <x:c r="E5" s="27" t="str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s="27" t="str">
        <x:v>physical_sample</x:v>
      </x:c>
      <x:c r="B6" s="27" t="str">
        <x:v>Sim</x:v>
      </x:c>
      <x:c r="C6" s="27" t="str">
        <x:v>Amostra recebida</x:v>
      </x:c>
      <x:c r="D6" s="27" t="str">
        <x:v>Retalho identificável</x:v>
      </x:c>
      <x:c r="E6" s="27" t="str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s="27" t="str">
        <x:v>technical_sheet_or_test</x:v>
      </x:c>
      <x:c r="B7" s="27" t="str">
        <x:v>Sim</x:v>
      </x:c>
      <x:c r="C7" s="27" t="str">
        <x:v>Fornecedor/laboratório</x:v>
      </x:c>
      <x:c r="D7" s="27" t="str">
        <x:v>Arquivo original preservado</x:v>
      </x:c>
      <x:c r="E7" s="27" t="str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27" t="str">
        <x:v>artifact_hash</x:v>
      </x:c>
      <x:c r="B8" s="27" t="str">
        <x:v>Sim</x:v>
      </x:c>
      <x:c r="C8" s="27" t="str">
        <x:v>SHA-256</x:v>
      </x:c>
      <x:c r="D8" s="27" t="str">
        <x:v>Recalculável</x:v>
      </x:c>
      <x:c r="E8" s="27" t="str">
        <x:v>Integridade não prova veracidade</x:v>
      </x:c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 s="27" t="str">
        <x:v>source_authenticity</x:v>
      </x:c>
      <x:c r="B9" s="27" t="str">
        <x:v>Sim</x:v>
      </x:c>
      <x:c r="C9" s="27" t="str">
        <x:v>Certification review</x:v>
      </x:c>
      <x:c r="D9" s="27" t="str">
        <x:v>verified/unverified/unknown</x:v>
      </x:c>
      <x:c r="E9" s="27" t="str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 s="27" t="str">
        <x:v>evidentiary_relevance</x:v>
      </x:c>
      <x:c r="B10" s="27" t="str">
        <x:v>Sim</x:v>
      </x:c>
      <x:c r="C10" s="27" t="str">
        <x:v>Certification review</x:v>
      </x:c>
      <x:c r="D10" s="27" t="str">
        <x:v>sufficient/limited/insufficient</x:v>
      </x:c>
      <x:c r="E10" s="27" t="str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 s="27" t="str">
        <x:v>composition</x:v>
      </x:c>
      <x:c r="B11" s="27" t="str">
        <x:v>Não automaticamente</x:v>
      </x:c>
      <x:c r="C11" s="27" t="str">
        <x:v>Documento verificável</x:v>
      </x:c>
      <x:c r="D11" s="27" t="str">
        <x:v>Nunca inferir por imagem</x:v>
      </x:c>
      <x:c r="E11" s="27" t="str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 s="27" t="str">
        <x:v>structure</x:v>
      </x:c>
      <x:c r="B12" s="27" t="str">
        <x:v>Após revisão</x:v>
      </x:c>
      <x:c r="C12" s="27" t="str">
        <x:v>Documento + observação</x:v>
      </x:c>
      <x:c r="D12" s="27" t="str">
        <x:v>Assertion versionada</x:v>
      </x:c>
      <x:c r="E12" s="27" t="str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 s="27" t="str">
        <x:v>license_or_permission</x:v>
      </x:c>
      <x:c r="B13" s="27" t="str">
        <x:v>Verificar</x:v>
      </x:c>
      <x:c r="C13" s="27" t="str">
        <x:v>Fornecedor/termos</x:v>
      </x:c>
      <x:c r="D13" s="27" t="str">
        <x:v>Uso interno/treino/publicação</x:v>
      </x:c>
      <x:c r="E13" s="27" t="str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 s="47" t="str">
        <x:v>Entidade do grafo</x:v>
      </x:c>
      <x:c r="B14" s="47" t="str">
        <x:v>Obrigatório</x:v>
      </x:c>
      <x:c r="C14" s="47" t="str">
        <x:v>Momento</x:v>
      </x:c>
      <x:c r="D14" s="47" t="str">
        <x:v>Regra</x:v>
      </x:c>
      <x:c r="E14" s="47" t="str">
        <x:v>Observação</x:v>
      </x:c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 s="12" t="str">
        <x:v>TextileSample</x:v>
      </x:c>
      <x:c r="B15" s="12" t="str">
        <x:v>Sim</x:v>
      </x:c>
      <x:c r="C15" s="12" t="str">
        <x:v>Recebimento</x:v>
      </x:c>
      <x:c r="D15" s="12" t="str">
        <x:v>ID estável</x:v>
      </x:c>
      <x:c r="E15" s="12" t="str">
        <x:v>Representa a amostra física</x:v>
      </x:c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 s="12" t="str">
        <x:v>Evidence</x:v>
      </x:c>
      <x:c r="B16" s="12" t="str">
        <x:v>Sim</x:v>
      </x:c>
      <x:c r="C16" s="12" t="str">
        <x:v>Documento/captura</x:v>
      </x:c>
      <x:c r="D16" s="12" t="str">
        <x:v>Integridade, autenticidade e relevância separadas</x:v>
      </x:c>
      <x:c r="E16" s="12" t="str">
        <x:v>URL comercial não é Evidence validada</x:v>
      </x:c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 s="12" t="str">
        <x:v>Assertion</x:v>
      </x:c>
      <x:c r="B17" s="12" t="str">
        <x:v>Após evidência</x:v>
      </x:c>
      <x:c r="C17" s="12" t="str">
        <x:v>Classificação</x:v>
      </x:c>
      <x:c r="D17" s="12" t="str">
        <x:v>Aponta para revisão taxonômica</x:v>
      </x:c>
      <x:c r="E17" s="12" t="str">
        <x:v>Mapeamento preliminar não é Assertion</x:v>
      </x:c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 s="12" t="str">
        <x:v>PublicationDecision</x:v>
      </x:c>
      <x:c r="B18" s="12" t="str">
        <x:v>Somente se houver publicação</x:v>
      </x:c>
      <x:c r="C18" s="12" t="str">
        <x:v>Pós-revisão</x:v>
      </x:c>
      <x:c r="D18" s="12" t="str">
        <x:v>Aplica política versionada</x:v>
      </x:c>
      <x:c r="E18" s="12" t="str">
        <x:v>Não confundir com intake do conjunto ouro</x:v>
      </x:c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38" hidden="0" customWidth="1"/>
    <x:col min="4" max="4" width="46" hidden="0" customWidth="1"/>
    <x:col min="5" max="5" width="24" hidden="0" customWidth="1"/>
    <x:col min="6" max="6" width="16" hidden="0" customWidth="1"/>
    <x:col min="7" max="7" width="34" hidden="0" customWidth="1"/>
    <x:col min="8" max="8" width="38" hidden="0" customWidth="1"/>
    <x:col min="9" max="9" width="38" hidden="0" customWidth="1"/>
  </x:cols>
  <x:sheetData>
    <x:row r="1">
      <x:c r="A1" s="47" t="str">
        <x:v>Grupo</x:v>
      </x:c>
      <x:c r="B1" s="47" t="str">
        <x:v>Candidatas</x:v>
      </x:c>
      <x:c r="C1" s="47" t="str">
        <x:v>Rota oficial</x:v>
      </x:c>
      <x:c r="D1" s="47" t="str">
        <x:v>Fonte</x:v>
      </x:c>
      <x:c r="E1" s="47" t="str">
        <x:v>Status</x:v>
      </x:c>
      <x:c r="F1" s="47" t="str">
        <x:v>Responsável</x:v>
      </x:c>
      <x:c r="G1" s="47" t="str">
        <x:v>Mensagem</x:v>
      </x:c>
      <x:c r="H1" s="47" t="str">
        <x:v>Próxima ação</x:v>
      </x:c>
      <x:c r="I1" s="47" t="str">
        <x:v>Observação</x:v>
      </x:c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12" t="str">
        <x:v>Cedro Têxtil</x:v>
      </x:c>
      <x:c r="B2" s="12" t="n">
        <x:v>10</x:v>
      </x:c>
      <x:c r="C2" s="12" t="str">
        <x:v>Formulário oficial + representante regional</x:v>
      </x:c>
      <x:c r="D2" s="12" t="str">
        <x:v>https://cedro.com.br/contato/</x:v>
      </x:c>
      <x:c r="E2" s="12" t="str">
        <x:v>Preparado — não enviado</x:v>
      </x:c>
      <x:c r="F2" s="12" t="str">
        <x:v>Operations</x:v>
      </x:c>
      <x:c r="G2" s="12" t="str">
        <x:v>wave-1-cedro.md</x:v>
      </x:c>
      <x:c r="H2" s="12" t="str">
        <x:v>Enviar solicitação e registrar protocolo</x:v>
      </x:c>
      <x:c r="I2" s="12" t="str">
        <x:v>Prioridade nacional</x:v>
      </x:c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12" t="str">
        <x:v>Polartec / CORDURA</x:v>
      </x:c>
      <x:c r="B3" s="12" t="n">
        <x:v>35</x:v>
      </x:c>
      <x:c r="C3" s="12" t="str">
        <x:v>Formulários oficiais, Partner Portal e Fabric Finder</x:v>
      </x:c>
      <x:c r="D3" s="12" t="str">
        <x:v>https://www.polartec.com/ | https://cordura.com/find-your-match</x:v>
      </x:c>
      <x:c r="E3" s="12" t="str">
        <x:v>Preparado — não enviado</x:v>
      </x:c>
      <x:c r="F3" s="12" t="str">
        <x:v>Operations</x:v>
      </x:c>
      <x:c r="G3" s="12" t="str">
        <x:v>wave-1-polartec-cordura.md</x:v>
      </x:c>
      <x:c r="H3" s="12" t="str">
        <x:v>Separar artigos e solicitar contato técnico</x:v>
      </x:c>
      <x:c r="I3" s="12" t="str">
        <x:v>Maior volume do lote</x:v>
      </x:c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12" t="str">
        <x:v>Ahlstrom / Freudenberg</x:v>
      </x:c>
      <x:c r="B4" s="12" t="n">
        <x:v>20</x:v>
      </x:c>
      <x:c r="C4" s="12" t="str">
        <x:v>Formulários de produto</x:v>
      </x:c>
      <x:c r="D4" s="12" t="str">
        <x:v>https://www.ahlstrom.com/products/ | https://www.freudenberg-pm.com/en</x:v>
      </x:c>
      <x:c r="E4" s="12" t="str">
        <x:v>Preparado — não enviado</x:v>
      </x:c>
      <x:c r="F4" s="12" t="str">
        <x:v>Operations</x:v>
      </x:c>
      <x:c r="G4" s="12" t="str">
        <x:v>wave-1-ahlstrom-freudenberg.md</x:v>
      </x:c>
      <x:c r="H4" s="12" t="str">
        <x:v>Priorizar não tecidos e compostos</x:v>
      </x:c>
      <x:c r="I4" s="12" t="str">
        <x:v>Exigir documento correspondente</x:v>
      </x:c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12" t="str">
        <x:v>Carrington Textiles</x:v>
      </x:c>
      <x:c r="B5" s="12" t="n">
        <x:v>5</x:v>
      </x:c>
      <x:c r="C5" s="12" t="str">
        <x:v>Formulário de contato e pedido de guia com amostras</x:v>
      </x:c>
      <x:c r="D5" s="12" t="str">
        <x:v>https://www.carrington.co.uk/en/media/downloads/new-guides/</x:v>
      </x:c>
      <x:c r="E5" s="12" t="str">
        <x:v>Preparado — não enviado</x:v>
      </x:c>
      <x:c r="F5" s="12" t="str">
        <x:v>Operations</x:v>
      </x:c>
      <x:c r="G5" s="12" t="str">
        <x:v>wave-1-carrington.md</x:v>
      </x:c>
      <x:c r="H5" s="12" t="str">
        <x:v>Solicitar hangers e TDS</x:v>
      </x:c>
      <x:c r="I5" s="12" t="str">
        <x:v>Fornecedor declara oferta de amostras</x:v>
      </x:c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</x:sheetData>
  <x:dataValidations count="2">
    <x:dataValidation type="list" sqref="C2:C20">
      <x:formula1>"Não iniciado,Contato localizado,Solicitação enviada,Em negociação,Confirmado,Recusado"</x:formula1>
    </x:dataValidation>
    <x:dataValidation type="list" sqref="E2:E20">
      <x:formula1>"Preparado — não enviado,Enviado,Resposta recebida,Amostra confirmada,Recusado,Sem resposta"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5" hidden="0" customWidth="1"/>
    <x:col min="4" max="4" width="20" hidden="0" customWidth="1"/>
    <x:col min="5" max="5" width="18" hidden="0" customWidth="1"/>
    <x:col min="6" max="6" width="30" hidden="0" customWidth="1"/>
  </x:cols>
  <x:sheetData>
    <x:row r="1">
      <x:c r="A1" s="6" t="str">
        <x:v>Prioridade</x:v>
      </x:c>
      <x:c r="B1" s="6" t="str">
        <x:v>Status físico</x:v>
      </x:c>
      <x:c r="C1" s="6" t="str">
        <x:v>Status documento</x:v>
      </x:c>
      <x:c r="D1" s="6" t="str">
        <x:v>Status intake</x:v>
      </x:c>
      <x:c r="E1" s="6" t="str">
        <x:v>Revisão</x:v>
      </x:c>
      <x:c r="F1" s="6" t="str">
        <x:v>Família</x:v>
      </x:c>
    </x:row>
    <x:row r="2">
      <x:c r="A2" s="12" t="str">
        <x:v>Alta</x:v>
      </x:c>
      <x:c r="B2" s="12" t="str">
        <x:v>A solicitar</x:v>
      </x:c>
      <x:c r="C2" s="12" t="str">
        <x:v>Referência localizada</x:v>
      </x:c>
      <x:c r="D2" s="12" t="str">
        <x:v>Candidata</x:v>
      </x:c>
      <x:c r="E2" s="12" t="str">
        <x:v>Não revisada</x:v>
      </x:c>
      <x:c r="F2" s="12" t="str">
        <x:v>tecido_plano</x:v>
      </x:c>
    </x:row>
    <x:row r="3">
      <x:c r="A3" s="12" t="str">
        <x:v>Média</x:v>
      </x:c>
      <x:c r="B3" s="12" t="str">
        <x:v>Solicitada</x:v>
      </x:c>
      <x:c r="C3" s="12" t="str">
        <x:v>Documento solicitado</x:v>
      </x:c>
      <x:c r="D3" s="12" t="str">
        <x:v>Pré-selecionada</x:v>
      </x:c>
      <x:c r="E3" s="12" t="str">
        <x:v>Em revisão</x:v>
      </x:c>
      <x:c r="F3" s="12" t="str">
        <x:v>malha_trama</x:v>
      </x:c>
    </x:row>
    <x:row r="4">
      <x:c r="A4" s="12" t="str">
        <x:v>Baixa</x:v>
      </x:c>
      <x:c r="B4" s="12" t="str">
        <x:v>Recebida</x:v>
      </x:c>
      <x:c r="C4" s="12" t="str">
        <x:v>Documento recebido</x:v>
      </x:c>
      <x:c r="D4" s="12" t="str">
        <x:v>Aceita</x:v>
      </x:c>
      <x:c r="E4" s="12" t="str">
        <x:v>Aprovada</x:v>
      </x:c>
      <x:c r="F4" s="12" t="str">
        <x:v>malha_urdume</x:v>
      </x:c>
    </x:row>
    <x:row r="5">
      <x:c r="A5" s="12" t="str"/>
      <x:c r="B5" s="12" t="str">
        <x:v>Recusada</x:v>
      </x:c>
      <x:c r="C5" s="12" t="str">
        <x:v>Documento validado</x:v>
      </x:c>
      <x:c r="D5" s="12" t="str">
        <x:v>Rejeitada</x:v>
      </x:c>
      <x:c r="E5" s="12" t="str">
        <x:v>Reprovada</x:v>
      </x:c>
      <x:c r="F5" s="12" t="str">
        <x:v>nao_tecido</x:v>
      </x:c>
    </x:row>
    <x:row r="6">
      <x:c r="A6" s="12" t="str"/>
      <x:c r="B6" s="12" t="str"/>
      <x:c r="C6" s="12" t="str">
        <x:v>Documento insuficiente</x:v>
      </x:c>
      <x:c r="D6" s="12" t="str">
        <x:v>Arquivada</x:v>
      </x:c>
      <x:c r="E6" s="12" t="str"/>
      <x:c r="F6" s="12" t="str">
        <x:v>estrutura_composta</x:v>
      </x:c>
    </x:row>
    <x:row r="7">
      <x:c r="A7" s="12" t="str"/>
      <x:c r="B7" s="12" t="str"/>
      <x:c r="C7" s="12" t="str"/>
      <x:c r="D7" s="12" t="str"/>
      <x:c r="E7" s="12" t="str"/>
      <x:c r="F7" s="12" t="str">
        <x:v>entrelacado_trancado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9" hidden="0" customWidth="1"/>
    <x:col min="3" max="3" width="25" hidden="0" customWidth="1"/>
    <x:col min="4" max="4" width="35" hidden="0" customWidth="1"/>
    <x:col min="5" max="5" width="24" hidden="0" customWidth="1"/>
    <x:col min="6" max="6" width="48" hidden="0" customWidth="1"/>
    <x:col min="7" max="7" width="50" hidden="0" customWidth="1"/>
    <x:col min="8" max="8" width="50" hidden="0" customWidth="1"/>
    <x:col min="9" max="9" width="22" hidden="0" customWidth="1"/>
    <x:col min="10" max="10" width="42" hidden="0" customWidth="1"/>
  </x:cols>
  <x:sheetData>
    <x:row r="1">
      <x:c r="A1" s="55" t="str">
        <x:v>PHYLLOS — Lacunas de cobertura e leads técnicos</x:v>
      </x:c>
      <x:c r="B1" s="55"/>
      <x:c r="C1" s="55"/>
      <x:c r="D1" s="55"/>
      <x:c r="E1" s="55"/>
      <x:c r="F1" s="55"/>
      <x:c r="G1" s="55"/>
      <x:c r="H1" s="55"/>
      <x:c r="I1" s="55"/>
      <x:c r="J1" s="55"/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</x:row>
    <x:row r="4">
      <x:c r="A4" s="47" t="str">
        <x:v>Lead ID</x:v>
      </x:c>
      <x:c r="B4" s="47" t="str">
        <x:v>Família alvo</x:v>
      </x:c>
      <x:c r="C4" s="47" t="str">
        <x:v>Fornecedor</x:v>
      </x:c>
      <x:c r="D4" s="47" t="str">
        <x:v>Produto</x:v>
      </x:c>
      <x:c r="E4" s="47" t="str">
        <x:v>Status documental</x:v>
      </x:c>
      <x:c r="F4" s="47" t="str">
        <x:v>Fonte oficial</x:v>
      </x:c>
      <x:c r="G4" s="47" t="str">
        <x:v>Family Concept Revision ID</x:v>
      </x:c>
      <x:c r="H4" s="47" t="str">
        <x:v>Construction Concept Revision IDs</x:v>
      </x:c>
      <x:c r="I4" s="47" t="str">
        <x:v>Status</x:v>
      </x:c>
      <x:c r="J4" s="47" t="str">
        <x:v>Próxima ação</x:v>
      </x:c>
    </x:row>
    <x:row r="5">
      <x:c r="A5" s="12" t="str">
        <x:v>GAP-WK-001</x:v>
      </x:c>
      <x:c r="B5" s="12" t="str">
        <x:v>malha_urdume</x:v>
      </x:c>
      <x:c r="C5" s="12" t="str">
        <x:v>Baltex</x:v>
      </x:c>
      <x:c r="D5" s="12" t="str">
        <x:v>Solid Polyester Ref. 6282</x:v>
      </x:c>
      <x:c r="E5" s="12" t="str">
        <x:v>technical_data_public</x:v>
      </x:c>
      <x:c r="F5" s="12" t="str">
        <x:v>https://baltex.co.uk/product/solid-polyester-ref-6282/</x:v>
      </x:c>
      <x:c r="G5" s="12" t="str">
        <x:v>concept-revision:structure.family.warp_knit:v0.3</x:v>
      </x:c>
      <x:c r="H5" s="12" t="str">
        <x:v>concept-revision:construction.primary.tricot:v0.3</x:v>
      </x:c>
      <x:c r="I5" s="12" t="str">
        <x:v>lead_not_candidate</x:v>
      </x:c>
      <x:c r="J5" s="12" t="str">
        <x:v>Solicitar amostra identificada e documento correspondente</x:v>
      </x:c>
    </x:row>
    <x:row r="6">
      <x:c r="A6" s="12" t="str">
        <x:v>GAP-WK-002</x:v>
      </x:c>
      <x:c r="B6" s="12" t="str">
        <x:v>malha_urdume</x:v>
      </x:c>
      <x:c r="C6" s="12" t="str">
        <x:v>Baltex</x:v>
      </x:c>
      <x:c r="D6" s="12" t="str">
        <x:v>Light Weight Polyester Ref. 7640</x:v>
      </x:c>
      <x:c r="E6" s="12" t="str">
        <x:v>technical_data_public</x:v>
      </x:c>
      <x:c r="F6" s="12" t="str">
        <x:v>https://baltex.co.uk/product/light-weight-polyester-ref-7640/</x:v>
      </x:c>
      <x:c r="G6" s="12" t="str">
        <x:v>concept-revision:structure.family.warp_knit:v0.3</x:v>
      </x:c>
      <x:c r="H6" s="12" t="str">
        <x:v>concept-revision:construction.primary.tricot:v0.3</x:v>
      </x:c>
      <x:c r="I6" s="12" t="str">
        <x:v>lead_not_candidate</x:v>
      </x:c>
      <x:c r="J6" s="12" t="str">
        <x:v>Solicitar amostra identificada e documento correspondente</x:v>
      </x:c>
    </x:row>
    <x:row r="7">
      <x:c r="A7" s="12" t="str">
        <x:v>GAP-WK-003</x:v>
      </x:c>
      <x:c r="B7" s="12" t="str">
        <x:v>malha_urdume</x:v>
      </x:c>
      <x:c r="C7" s="12" t="str">
        <x:v>Heathcoat Fabrics</x:v>
      </x:c>
      <x:c r="D7" s="12" t="str">
        <x:v>High-Absorbency Viscose Fabric for Woundcare</x:v>
      </x:c>
      <x:c r="E7" s="12" t="str">
        <x:v>official_product_page</x:v>
      </x:c>
      <x:c r="F7" s="12" t="str">
        <x:v>https://www.heathcoat.co.uk/viscose-fabric-for-woundcare/</x:v>
      </x:c>
      <x:c r="G7" s="12" t="str">
        <x:v>concept-revision:structure.family.warp_knit:v0.3</x:v>
      </x:c>
      <x:c r="H7" s="12" t="str"/>
      <x:c r="I7" s="12" t="str">
        <x:v>lead_not_candidate</x:v>
      </x:c>
      <x:c r="J7" s="12" t="str">
        <x:v>Solicitar amostra identificada e documento correspondente</x:v>
      </x:c>
    </x:row>
    <x:row r="8">
      <x:c r="A8" s="12" t="str">
        <x:v>GAP-SB-001</x:v>
      </x:c>
      <x:c r="B8" s="12" t="str">
        <x:v>costurado_stitch_bonded</x:v>
      </x:c>
      <x:c r="C8" s="12" t="str">
        <x:v>United Asphalt</x:v>
      </x:c>
      <x:c r="D8" s="12" t="str">
        <x:v>United Polyester Fabric</x:v>
      </x:c>
      <x:c r="E8" s="12" t="str">
        <x:v>technical_data_public</x:v>
      </x:c>
      <x:c r="F8" s="12" t="str">
        <x:v>https://unitedasphalt.com/united-polyester-fabric/</x:v>
      </x:c>
      <x:c r="G8" s="12" t="str">
        <x:v>concept-revision:structure.family.stitch_bonded:v0.3</x:v>
      </x:c>
      <x:c r="H8" s="12" t="str"/>
      <x:c r="I8" s="12" t="str">
        <x:v>lead_not_candidate</x:v>
      </x:c>
      <x:c r="J8" s="12" t="str">
        <x:v>Solicitar amostra identificada e documento correspondente</x:v>
      </x:c>
    </x:row>
    <x:row r="9">
      <x:c r="A9" s="12" t="str">
        <x:v>GAP-SB-002</x:v>
      </x:c>
      <x:c r="B9" s="12" t="str">
        <x:v>costurado_stitch_bonded</x:v>
      </x:c>
      <x:c r="C9" s="12" t="str">
        <x:v>WINIW / PANONWOVEN</x:v>
      </x:c>
      <x:c r="D9" s="12" t="str">
        <x:v>Polyester Stitchbond Nonwoven Fabric</x:v>
      </x:c>
      <x:c r="E9" s="12" t="str">
        <x:v>supplier_specification_page</x:v>
      </x:c>
      <x:c r="F9" s="12" t="str">
        <x:v>https://www.panonwoven.com/products/polyester-stitchbond-nonwoven-fabric/</x:v>
      </x:c>
      <x:c r="G9" s="12" t="str">
        <x:v>concept-revision:structure.family.stitch_bonded:v0.3</x:v>
      </x:c>
      <x:c r="H9" s="12" t="str"/>
      <x:c r="I9" s="12" t="str">
        <x:v>lead_not_candidate</x:v>
      </x:c>
      <x:c r="J9" s="12" t="str">
        <x:v>Solicitar amostra identificada e documento correspondente</x:v>
      </x:c>
    </x:row>
  </x:sheetData>
  <x:mergeCells>
    <x:mergeCell ref="A1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4" hidden="0" customWidth="1"/>
    <x:col min="4" max="4" width="42" hidden="0" customWidth="1"/>
    <x:col min="5" max="5" width="24" hidden="0" customWidth="1"/>
    <x:col min="6" max="6" width="34" hidden="0" customWidth="1"/>
    <x:col min="7" max="7" width="12" hidden="0" customWidth="1"/>
    <x:col min="8" max="8" width="48" hidden="0" customWidth="1"/>
  </x:cols>
  <x:sheetData>
    <x:row r="1">
      <x:c r="A1" s="55" t="str">
        <x:v>PHYLLOS — Primeira onda de solicitações</x:v>
      </x:c>
      <x:c r="B1" s="55"/>
      <x:c r="C1" s="55"/>
      <x:c r="D1" s="55"/>
      <x:c r="E1" s="55"/>
      <x:c r="F1" s="55"/>
      <x:c r="G1" s="55"/>
      <x:c r="H1" s="55"/>
    </x:row>
    <x:row r="2">
      <x:c r="A2" s="55"/>
      <x:c r="B2" s="55"/>
      <x:c r="C2" s="55"/>
      <x:c r="D2" s="55"/>
      <x:c r="E2" s="55"/>
      <x:c r="F2" s="55"/>
      <x:c r="G2" s="55"/>
      <x:c r="H2" s="55"/>
    </x:row>
    <x:row r="4">
      <x:c r="A4" s="47" t="str">
        <x:v>Onda</x:v>
      </x:c>
      <x:c r="B4" s="47" t="str">
        <x:v>Grupo</x:v>
      </x:c>
      <x:c r="C4" s="47" t="str">
        <x:v>Candidatas</x:v>
      </x:c>
      <x:c r="D4" s="47" t="str">
        <x:v>Rota</x:v>
      </x:c>
      <x:c r="E4" s="47" t="str">
        <x:v>Status</x:v>
      </x:c>
      <x:c r="F4" s="47" t="str">
        <x:v>Arquivo da mensagem</x:v>
      </x:c>
      <x:c r="G4" s="47" t="str">
        <x:v>Prioridade</x:v>
      </x:c>
      <x:c r="H4" s="47" t="str">
        <x:v>Gate</x:v>
      </x:c>
    </x:row>
    <x:row r="5">
      <x:c r="A5" s="12" t="str">
        <x:v>wave-1-cedro</x:v>
      </x:c>
      <x:c r="B5" s="12" t="str">
        <x:v>Cedro Têxtil</x:v>
      </x:c>
      <x:c r="C5" s="12" t="n">
        <x:v>10</x:v>
      </x:c>
      <x:c r="D5" s="12" t="str">
        <x:v>official_contact_form_and_regional_representative</x:v>
      </x:c>
      <x:c r="E5" s="12" t="str">
        <x:v>prepared_not_sent</x:v>
      </x:c>
      <x:c r="F5" s="12" t="str">
        <x:v>wave-1-cedro.md</x:v>
      </x:c>
      <x:c r="G5" s="12" t="n">
        <x:v>1</x:v>
      </x:c>
      <x:c r="H5" s="12" t="str">
        <x:v>Registrar envio e resposta; não aceitar sem amostra + documento</x:v>
      </x:c>
    </x:row>
    <x:row r="6">
      <x:c r="A6" s="12" t="str">
        <x:v>wave-1-polartec-cordura</x:v>
      </x:c>
      <x:c r="B6" s="12" t="str">
        <x:v>Polartec / CORDURA</x:v>
      </x:c>
      <x:c r="C6" s="12" t="n">
        <x:v>35</x:v>
      </x:c>
      <x:c r="D6" s="12" t="str">
        <x:v>official_contact_forms_partner_portals_and_fabric_finder</x:v>
      </x:c>
      <x:c r="E6" s="12" t="str">
        <x:v>prepared_not_sent</x:v>
      </x:c>
      <x:c r="F6" s="12" t="str">
        <x:v>wave-1-polartec-cordura.md</x:v>
      </x:c>
      <x:c r="G6" s="12" t="n">
        <x:v>2</x:v>
      </x:c>
      <x:c r="H6" s="12" t="str">
        <x:v>Registrar envio e resposta; não aceitar sem amostra + documento</x:v>
      </x:c>
    </x:row>
    <x:row r="7">
      <x:c r="A7" s="12" t="str">
        <x:v>wave-1-ahlstrom-freudenberg</x:v>
      </x:c>
      <x:c r="B7" s="12" t="str">
        <x:v>Ahlstrom / Freudenberg Performance Materials</x:v>
      </x:c>
      <x:c r="C7" s="12" t="n">
        <x:v>20</x:v>
      </x:c>
      <x:c r="D7" s="12" t="str">
        <x:v>official_product_contact_forms</x:v>
      </x:c>
      <x:c r="E7" s="12" t="str">
        <x:v>prepared_not_sent</x:v>
      </x:c>
      <x:c r="F7" s="12" t="str">
        <x:v>wave-1-ahlstrom-freudenberg.md</x:v>
      </x:c>
      <x:c r="G7" s="12" t="n">
        <x:v>3</x:v>
      </x:c>
      <x:c r="H7" s="12" t="str">
        <x:v>Registrar envio e resposta; não aceitar sem amostra + documento</x:v>
      </x:c>
    </x:row>
    <x:row r="8">
      <x:c r="A8" s="12" t="str">
        <x:v>wave-1-carrington</x:v>
      </x:c>
      <x:c r="B8" s="12" t="str">
        <x:v>Carrington Textiles</x:v>
      </x:c>
      <x:c r="C8" s="12" t="n">
        <x:v>5</x:v>
      </x:c>
      <x:c r="D8" s="12" t="str">
        <x:v>official_contact_and_sample_guide_form</x:v>
      </x:c>
      <x:c r="E8" s="12" t="str">
        <x:v>prepared_not_sent</x:v>
      </x:c>
      <x:c r="F8" s="12" t="str">
        <x:v>wave-1-carrington.md</x:v>
      </x:c>
      <x:c r="G8" s="12" t="n">
        <x:v>4</x:v>
      </x:c>
      <x:c r="H8" s="12" t="str">
        <x:v>Registrar envio e resposta; não aceitar sem amostra + documento</x:v>
      </x:c>
    </x:row>
  </x:sheetData>
  <x:mergeCells>
    <x:mergeCell ref="A1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4" max="4" width="30" hidden="0" customWidth="1"/>
    <x:col min="5" max="5" width="16" hidden="0" customWidth="1"/>
    <x:col min="7" max="7" width="28" hidden="0" customWidth="1"/>
    <x:col min="8" max="8" width="16" hidden="0" customWidth="1"/>
    <x:col min="6" max="6" width="5" hidden="0" customWidth="1"/>
  </x:cols>
  <x:sheetData>
    <x:row r="1" ht="28" customHeight="1">
      <x:c r="A1" s="71" t="str">
        <x:v>PHYLLOS — Auditoria de Completude Ambiental v0.3</x:v>
      </x:c>
      <x:c r="B1" s="71"/>
      <x:c r="C1" s="71"/>
      <x:c r="D1" s="71"/>
      <x:c r="E1" s="71"/>
      <x:c r="F1" s="71"/>
      <x:c r="G1" s="71"/>
      <x:c r="H1" s="71"/>
    </x:row>
    <x:row r="2" ht="28" customHeight="1">
      <x:c r="A2" s="71"/>
      <x:c r="B2" s="71"/>
      <x:c r="C2" s="71"/>
      <x:c r="D2" s="71"/>
      <x:c r="E2" s="71"/>
      <x:c r="F2" s="71"/>
      <x:c r="G2" s="71"/>
      <x:c r="H2" s="71"/>
    </x:row>
    <x:row r="4">
      <x:c r="A4" s="75" t="str">
        <x:v>Diagnóstico executivo</x:v>
      </x:c>
      <x:c r="B4" s="75"/>
      <x:c r="C4" s="75"/>
      <x:c r="D4" s="75"/>
      <x:c r="E4" s="75"/>
      <x:c r="F4" s="75"/>
      <x:c r="G4" s="75"/>
      <x:c r="H4" s="75"/>
    </x:row>
    <x:row r="6">
      <x:c r="A6" s="66" t="str">
        <x:v>Indicador</x:v>
      </x:c>
      <x:c r="B6" s="66" t="str">
        <x:v>Valor</x:v>
      </x:c>
      <x:c r="D6" s="66" t="str">
        <x:v>Dimensão</x:v>
      </x:c>
      <x:c r="E6" s="66" t="str">
        <x:v>Média atual</x:v>
      </x:c>
      <x:c r="G6" s="66" t="str">
        <x:v>Indicador geral</x:v>
      </x:c>
      <x:c r="H6" s="66" t="str">
        <x:v>Valor</x:v>
      </x:c>
    </x:row>
    <x:row r="7" ht="26" customHeight="1">
      <x:c r="A7" s="79" t="str">
        <x:v>Amostras auditadas</x:v>
      </x:c>
      <x:c r="B7" s="80" t="n">
        <x:f>COUNTA('Registro Enriquecido'!A2:A71)</x:f>
        <x:v>70</x:v>
      </x:c>
      <x:c r="D7" s="89" t="str">
        <x:v>Identidade e rastreabilidade</x:v>
      </x:c>
      <x:c r="E7" s="81" t="n">
        <x:f>AVERAGE('Registro Enriquecido'!AQ2:AQ71)</x:f>
        <x:v>16</x:v>
      </x:c>
      <x:c r="G7" s="79" t="str">
        <x:v>Completude média</x:v>
      </x:c>
      <x:c r="H7" s="81" t="n">
        <x:f>AVERAGE('Registro Enriquecido'!AV2:AV71)</x:f>
        <x:v>36.9</x:v>
      </x:c>
    </x:row>
    <x:row r="8" ht="26" customHeight="1">
      <x:c r="A8" s="79" t="str">
        <x:v>Composição percentual válida</x:v>
      </x:c>
      <x:c r="B8" s="80" t="n">
        <x:f>COUNTIF('Registro Enriquecido'!AK2:AK71,"Sim")</x:f>
        <x:v>7</x:v>
      </x:c>
      <x:c r="D8" s="89" t="str">
        <x:v>Caracterização têxtil</x:v>
      </x:c>
      <x:c r="E8" s="81" t="n">
        <x:f>AVERAGE('Registro Enriquecido'!AR2:AR71)</x:f>
        <x:v>18.114285714285714</x:v>
      </x:c>
      <x:c r="G8" s="79" t="str">
        <x:v>Menor completude</x:v>
      </x:c>
      <x:c r="H8" s="81" t="n">
        <x:f>MIN('Registro Enriquecido'!AV2:AV71)</x:f>
        <x:v>32</x:v>
      </x:c>
    </x:row>
    <x:row r="9" ht="26" customHeight="1">
      <x:c r="A9" s="79" t="str">
        <x:v>Gramatura disponível</x:v>
      </x:c>
      <x:c r="B9" s="80" t="n">
        <x:f>COUNT('Registro Enriquecido'!AF2:AF71)</x:f>
        <x:v>14</x:v>
      </x:c>
      <x:c r="D9" s="89" t="str">
        <x:v>Composição e propriedades</x:v>
      </x:c>
      <x:c r="E9" s="81" t="n">
        <x:f>AVERAGE('Registro Enriquecido'!AS2:AS71)</x:f>
        <x:v>2.5</x:v>
      </x:c>
      <x:c r="G9" s="79" t="str">
        <x:v>Maior completude</x:v>
      </x:c>
      <x:c r="H9" s="81" t="n">
        <x:f>MAX('Registro Enriquecido'!AV2:AV71)</x:f>
        <x:v>53</x:v>
      </x:c>
    </x:row>
    <x:row r="10" ht="26" customHeight="1">
      <x:c r="A10" s="79" t="str">
        <x:v>Candidatas provisórias a estimativa material</x:v>
      </x:c>
      <x:c r="B10" s="80" t="n">
        <x:f>COUNTIF('Registro Enriquecido'!AO2:AO71,"material_estimate_only")</x:f>
        <x:v>7</x:v>
      </x:c>
      <x:c r="D10" s="89" t="str">
        <x:v>Cadeia e processos</x:v>
      </x:c>
      <x:c r="E10" s="81" t="n">
        <x:f>AVERAGE('Registro Enriquecido'!AT2:AT71)</x:f>
        <x:v>0.2857142857142857</x:v>
      </x:c>
      <x:c r="G10" s="79" t="str">
        <x:v>Amostras não calculáveis</x:v>
      </x:c>
      <x:c r="H10" t="n">
        <x:f>COUNTIF('Registro Enriquecido'!AO2:AO71,"not_calculable")</x:f>
        <x:v>63</x:v>
      </x:c>
    </x:row>
    <x:row r="11" ht="26" customHeight="1">
      <x:c r="A11" s="79" t="str">
        <x:v>Com Evidence validada</x:v>
      </x:c>
      <x:c r="B11" s="80" t="n">
        <x:f>COUNTA('Registro Enriquecido'!Z2:Z71)</x:f>
        <x:v>0</x:v>
      </x:c>
      <x:c r="D11" s="89" t="str">
        <x:v>Ambiental e evidências</x:v>
      </x:c>
      <x:c r="E11" s="81" t="n">
        <x:f>AVERAGE('Registro Enriquecido'!AU2:AU71)</x:f>
        <x:v>0</x:v>
      </x:c>
    </x:row>
    <x:row r="14">
      <x:c r="A14" s="75" t="str">
        <x:v>Cobertura atual dos parâmetros críticos</x:v>
      </x:c>
      <x:c r="B14" s="75"/>
      <x:c r="C14" s="75"/>
      <x:c r="D14" s="75" t="str">
        <x:v>Decisão operacional</x:v>
      </x:c>
      <x:c r="E14" s="75"/>
      <x:c r="F14" s="75"/>
      <x:c r="G14" s="75"/>
      <x:c r="H14" s="75"/>
    </x:row>
    <x:row r="16">
      <x:c r="A16" s="66" t="str">
        <x:v>Parâmetro</x:v>
      </x:c>
      <x:c r="B16" s="66" t="str">
        <x:v>Cobertura</x:v>
      </x:c>
      <x:c r="D16" s="85" t="str">
        <x:v>A base está preparada para auditoria e enriquecimento, mas não para cálculo oficial ou publicação de impactos. Os 7 casos com composição percentual extraída + gramatura são apenas candidatos provisórios a material_estimate_only: todas as extrações permanecem em pending_human_review. Processos, geografia produtiva, fatores, fronteira, evidências e incerteza continuam obrigatórios.</x:v>
      </x:c>
      <x:c r="E16" s="85"/>
      <x:c r="F16" s="85"/>
      <x:c r="G16" s="85"/>
      <x:c r="H16" s="85"/>
    </x:row>
    <x:row r="17">
      <x:c r="A17" s="79" t="str">
        <x:v>Composição percentual válida</x:v>
      </x:c>
      <x:c r="B17" t="n">
        <x:f>COUNTIF('Registro Enriquecido'!AK2:AK71,"Sim")</x:f>
        <x:v>7</x:v>
      </x:c>
      <x:c r="D17" s="85"/>
      <x:c r="E17" s="85"/>
      <x:c r="F17" s="85"/>
      <x:c r="G17" s="85"/>
      <x:c r="H17" s="85"/>
    </x:row>
    <x:row r="18">
      <x:c r="A18" s="79" t="str">
        <x:v>Composição com alguma menção</x:v>
      </x:c>
      <x:c r="B18" t="n">
        <x:f>COUNTIF('Registro Enriquecido'!AH2:AH71,"&lt;&gt;não informado")</x:f>
        <x:v>17</x:v>
      </x:c>
      <x:c r="D18" s="85"/>
      <x:c r="E18" s="85"/>
      <x:c r="F18" s="85"/>
      <x:c r="G18" s="85"/>
      <x:c r="H18" s="85"/>
    </x:row>
    <x:row r="19">
      <x:c r="A19" s="79" t="str">
        <x:v>Gramatura</x:v>
      </x:c>
      <x:c r="B19" t="n">
        <x:f>COUNT('Registro Enriquecido'!AF2:AF71)</x:f>
        <x:v>14</x:v>
      </x:c>
    </x:row>
    <x:row r="20">
      <x:c r="A20" s="79" t="str">
        <x:v>Conteúdo reciclado explícito</x:v>
      </x:c>
      <x:c r="B20" t="n">
        <x:f>COUNTIF('Registro Enriquecido'!AM2:AM71,"Sim")</x:f>
        <x:v>1</x:v>
      </x:c>
      <x:c r="D20" s="88" t="str">
        <x:v>Próximo gate: revisão humana das extrações e recebimento dos documentos correspondentes. A distribuição técnica v0.3 já declara jsonschema&gt;=4.18,&lt;5 e passou em ambiente virtual limpo; isso não altera o bloqueio de cálculo oficial.</x:v>
      </x:c>
      <x:c r="E20" s="88"/>
      <x:c r="F20" s="88"/>
      <x:c r="G20" s="88"/>
      <x:c r="H20" s="88"/>
    </x:row>
    <x:row r="21">
      <x:c r="A21" s="79" t="str">
        <x:v>EPD ou ACV específica</x:v>
      </x:c>
      <x:c r="B21" t="n">
        <x:f>0</x:f>
        <x:v>0</x:v>
      </x:c>
      <x:c r="D21" s="88"/>
      <x:c r="E21" s="88"/>
      <x:c r="F21" s="88"/>
      <x:c r="G21" s="88"/>
      <x:c r="H21" s="88"/>
    </x:row>
    <x:row r="22">
      <x:c r="A22" s="79" t="str">
        <x:v>Fator ambiental associado</x:v>
      </x:c>
      <x:c r="B22" t="n">
        <x:f>0</x:f>
        <x:v>0</x:v>
      </x:c>
      <x:c r="D22" s="88"/>
      <x:c r="E22" s="88"/>
      <x:c r="F22" s="88"/>
      <x:c r="G22" s="88"/>
      <x:c r="H22" s="88"/>
    </x:row>
    <x:row r="23">
      <x:c r="A23" s="79" t="str">
        <x:v>Cadeia produtiva detalhada</x:v>
      </x:c>
      <x:c r="B23" t="n">
        <x:f>0</x:f>
        <x:v>0</x:v>
      </x:c>
      <x:c r="D23" s="88"/>
      <x:c r="E23" s="88"/>
      <x:c r="F23" s="88"/>
      <x:c r="G23" s="88"/>
      <x:c r="H23" s="88"/>
    </x:row>
  </x:sheetData>
  <x:mergeCells>
    <x:mergeCell ref="A1:H2"/>
    <x:mergeCell ref="A4:H4"/>
    <x:mergeCell ref="A14:H14"/>
    <x:mergeCell ref="D14:H14"/>
    <x:mergeCell ref="D16:H18"/>
    <x:mergeCell ref="D20:H23"/>
  </x:mergeCells>
  <x:conditionalFormatting sqref="E7:E11">
    <x:cfRule type="dataBar" priority="1">
      <x:dataBar>
        <x:cfvo type="min"/>
        <x:cfvo type="max"/>
        <x:color rgb="FF2F6B4F"/>
      </x:dataBar>
      <x:extLst>
        <x:ext xmlns:x14="http://schemas.microsoft.com/office/spreadsheetml/2009/9/main" uri="{B025F937-C7B1-47D3-B67F-A62EFF666E3E}">
          <x14:id>{934B789C-E678-4EB5-A929-CBE41AA3DB3C}</x14:id>
        </x:ext>
      </x:extLst>
    </x:cfRule>
  </x:conditionalFormatting>
  <x:conditionalFormatting sqref="B17:B23">
    <x:cfRule type="dataBar" priority="2">
      <x:dataBar>
        <x:cfvo type="min"/>
        <x:cfvo type="max"/>
        <x:color rgb="FFB58B3B"/>
      </x:dataBar>
      <x:extLst>
        <x:ext xmlns:x14="http://schemas.microsoft.com/office/spreadsheetml/2009/9/main" uri="{B025F937-C7B1-47D3-B67F-A62EFF666E3E}">
          <x14:id>{DF2E8B52-C92B-7185-7D81-7943FB3442B6}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f614edd6fd8445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34B789C-E678-4EB5-A929-CBE41AA3DB3C}">
            <x14:dataBar gradient="1">
              <x14:cfvo type="min"/>
              <x14:cfvo type="max"/>
              <x14:fillColor rgb="FF2F6B4F"/>
            </x14:dataBar>
          </x14:cfRule>
          <xm:sqref>E7:E11</xm:sqref>
        </x14:conditionalFormatting>
        <x14:conditionalFormatting>
          <x14:cfRule type="dataBar" priority="2" id="{DF2E8B52-C92B-7185-7D81-7943FB3442B6}">
            <x14:dataBar gradient="1">
              <x14:cfvo type="min"/>
              <x14:cfvo type="max"/>
              <x14:fillColor rgb="FFB58B3B"/>
            </x14:dataBar>
          </x14:cfRule>
          <xm:sqref>B17:B23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8" hidden="0" customWidth="1"/>
    <x:col min="4" max="4" width="18" hidden="0" customWidth="1"/>
    <x:col min="5" max="5" width="34" hidden="0" customWidth="1"/>
    <x:col min="6" max="6" width="30" hidden="0" customWidth="1"/>
    <x:col min="7" max="7" width="34" hidden="0" customWidth="1"/>
    <x:col min="8" max="8" width="11" hidden="0" customWidth="1"/>
    <x:col min="9" max="9" width="14" hidden="0" customWidth="1"/>
    <x:col min="10" max="10" width="28" hidden="0" customWidth="1"/>
    <x:col min="11" max="11" width="13" hidden="0" customWidth="1"/>
    <x:col min="12" max="12" width="18" hidden="0" customWidth="1"/>
    <x:col min="13" max="13" width="14" hidden="0" customWidth="1"/>
    <x:col min="14" max="14" width="14" hidden="0" customWidth="1"/>
    <x:col min="15" max="15" width="10" hidden="0" customWidth="1"/>
    <x:col min="16" max="16" width="13" hidden="0" customWidth="1"/>
    <x:col min="17" max="17" width="20" hidden="0" customWidth="1"/>
    <x:col min="18" max="18" width="20" hidden="0" customWidth="1"/>
    <x:col min="19" max="19" width="15" hidden="0" customWidth="1"/>
    <x:col min="20" max="20" width="36" hidden="0" customWidth="1"/>
    <x:col min="21" max="21" width="28" hidden="0" customWidth="1"/>
    <x:col min="22" max="22" width="30" hidden="0" customWidth="1"/>
    <x:col min="23" max="23" width="38" hidden="0" customWidth="1"/>
    <x:col min="24" max="24" width="20" hidden="0" customWidth="1"/>
    <x:col min="25" max="25" width="28" hidden="0" customWidth="1"/>
    <x:col min="26" max="26" width="20" hidden="0" customWidth="1"/>
    <x:col min="27" max="27" width="20" hidden="0" customWidth="1"/>
    <x:col min="28" max="28" width="20" hidden="0" customWidth="1"/>
    <x:col min="29" max="29" width="22" hidden="0" customWidth="1"/>
    <x:col min="30" max="30" width="24" hidden="0" customWidth="1"/>
    <x:col min="31" max="31" width="34" hidden="0" customWidth="1"/>
    <x:col min="32" max="32" width="12" hidden="0" customWidth="1"/>
    <x:col min="33" max="33" width="9" hidden="0" customWidth="1"/>
    <x:col min="34" max="34" width="26" hidden="0" customWidth="1"/>
    <x:col min="35" max="35" width="38" hidden="0" customWidth="1"/>
    <x:col min="36" max="36" width="12" hidden="0" customWidth="1"/>
    <x:col min="37" max="37" width="12" hidden="0" customWidth="1"/>
    <x:col min="38" max="38" width="28" hidden="0" customWidth="1"/>
    <x:col min="39" max="39" width="14" hidden="0" customWidth="1"/>
    <x:col min="40" max="40" width="18" hidden="0" customWidth="1"/>
    <x:col min="41" max="41" width="22" hidden="0" customWidth="1"/>
    <x:col min="42" max="42" width="30" hidden="0" customWidth="1"/>
    <x:col min="43" max="43" width="12" hidden="0" customWidth="1"/>
    <x:col min="44" max="44" width="12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42" hidden="0" customWidth="1"/>
    <x:col min="51" max="51" width="24" hidden="0" customWidth="1"/>
  </x:cols>
  <x:sheetData>
    <x:row r="1" ht="34" customHeight="1">
      <x:c r="A1" s="66" t="str">
        <x:v>ID da amostra</x:v>
      </x:c>
      <x:c r="B1" s="66" t="str">
        <x:v>Fornecedor</x:v>
      </x:c>
      <x:c r="C1" s="66" t="str">
        <x:v>Produto / amostra alvo</x:v>
      </x:c>
      <x:c r="D1" s="66" t="str">
        <x:v>Família estrutural alvo</x:v>
      </x:c>
      <x:c r="E1" s="66" t="str">
        <x:v>Construção / diversidade alvo</x:v>
      </x:c>
      <x:c r="F1" s="66" t="str">
        <x:v>Disponibilidade documental</x:v>
      </x:c>
      <x:c r="G1" s="66" t="str">
        <x:v>Fonte oficial</x:v>
      </x:c>
      <x:c r="H1" s="66" t="str">
        <x:v>Prioridade</x:v>
      </x:c>
      <x:c r="I1" s="66" t="str">
        <x:v>Geografia</x:v>
      </x:c>
      <x:c r="J1" s="66" t="str">
        <x:v>Canal de aquisição</x:v>
      </x:c>
      <x:c r="K1" s="66" t="str">
        <x:v>Status físico</x:v>
      </x:c>
      <x:c r="L1" s="66" t="str">
        <x:v>Status documento</x:v>
      </x:c>
      <x:c r="M1" s="66" t="str">
        <x:v>Status intake</x:v>
      </x:c>
      <x:c r="N1" s="66" t="str">
        <x:v>Responsável</x:v>
      </x:c>
      <x:c r="O1" s="66" t="str">
        <x:v>Qtd. planejada</x:v>
      </x:c>
      <x:c r="P1" s="66" t="str">
        <x:v>Data recebimento</x:v>
      </x:c>
      <x:c r="Q1" s="66" t="str">
        <x:v>Arquivo documental</x:v>
      </x:c>
      <x:c r="R1" s="66" t="str">
        <x:v>Hash da evidência</x:v>
      </x:c>
      <x:c r="S1" s="66" t="str">
        <x:v>Status revisão</x:v>
      </x:c>
      <x:c r="T1" s="66" t="str">
        <x:v>Observações</x:v>
      </x:c>
      <x:c r="U1" s="66" t="str">
        <x:v>Dimension Revision ID</x:v>
      </x:c>
      <x:c r="V1" s="66" t="str">
        <x:v>Family Concept Revision ID</x:v>
      </x:c>
      <x:c r="W1" s="66" t="str">
        <x:v>Construction Concept Revision IDs</x:v>
      </x:c>
      <x:c r="X1" s="66" t="str">
        <x:v>Mapping Status</x:v>
      </x:c>
      <x:c r="Y1" s="66" t="str">
        <x:v>TextileSample Node ID</x:v>
      </x:c>
      <x:c r="Z1" s="66" t="str">
        <x:v>Evidence IDs</x:v>
      </x:c>
      <x:c r="AA1" s="66" t="str">
        <x:v>Assertion IDs</x:v>
      </x:c>
      <x:c r="AB1" s="66" t="str">
        <x:v>Review IDs</x:v>
      </x:c>
      <x:c r="AC1" s="66" t="str">
        <x:v>PublicationDecision IDs</x:v>
      </x:c>
      <x:c r="AD1" s="66" t="str">
        <x:v>Onda de solicitação</x:v>
      </x:c>
      <x:c r="AE1" s="66" t="str">
        <x:v>construction_source_text</x:v>
      </x:c>
      <x:c r="AF1" s="66" t="str">
        <x:v>gsm_extracted</x:v>
      </x:c>
      <x:c r="AG1" s="66" t="str">
        <x:v>gsm_unit</x:v>
      </x:c>
      <x:c r="AH1" s="66" t="str">
        <x:v>composition_extraction_status</x:v>
      </x:c>
      <x:c r="AI1" s="66" t="str">
        <x:v>composition_components_json</x:v>
      </x:c>
      <x:c r="AJ1" s="66" t="str">
        <x:v>composition_sum_pct</x:v>
      </x:c>
      <x:c r="AK1" s="66" t="str">
        <x:v>composition_sum_valid</x:v>
      </x:c>
      <x:c r="AL1" s="66" t="str">
        <x:v>composition_textual_mentions</x:v>
      </x:c>
      <x:c r="AM1" s="66" t="str">
        <x:v>recycled_claim</x:v>
      </x:c>
      <x:c r="AN1" s="66" t="str">
        <x:v>generic_certification_mention</x:v>
      </x:c>
      <x:c r="AO1" s="66" t="str">
        <x:v>calculability_status</x:v>
      </x:c>
      <x:c r="AP1" s="66" t="str">
        <x:v>source_quality_level</x:v>
      </x:c>
      <x:c r="AQ1" s="66" t="str">
        <x:v>identity_score_20</x:v>
      </x:c>
      <x:c r="AR1" s="66" t="str">
        <x:v>textile_score_25</x:v>
      </x:c>
      <x:c r="AS1" s="66" t="str">
        <x:v>composition_physical_score_25</x:v>
      </x:c>
      <x:c r="AT1" s="66" t="str">
        <x:v>supply_chain_score_15</x:v>
      </x:c>
      <x:c r="AU1" s="66" t="str">
        <x:v>environmental_evidence_score_15</x:v>
      </x:c>
      <x:c r="AV1" s="66" t="str">
        <x:v>completeness_score_100</x:v>
      </x:c>
      <x:c r="AW1" s="66" t="str">
        <x:v>review_required</x:v>
      </x:c>
      <x:c r="AX1" s="66" t="str">
        <x:v>data_quality_notes</x:v>
      </x:c>
      <x:c r="AY1" s="12" t="str">
        <x:v>calculability_review_status</x:v>
      </x:c>
    </x:row>
    <x:row r="2">
      <x:c r="A2" s="12" t="str">
        <x:v>OPS-TX-001</x:v>
      </x:c>
      <x:c r="B2" s="12" t="str">
        <x:v>Polartec</x:v>
      </x:c>
      <x:c r="C2" s="12" t="str">
        <x:v>Delta</x:v>
      </x:c>
      <x:c r="D2" s="12" t="str">
        <x:v>malha_trama</x:v>
      </x:c>
      <x:c r="E2" s="12" t="str">
        <x:v>malha técnica bi-componente</x:v>
      </x:c>
      <x:c r="F2" s="12" t="str">
        <x:v>Página técnica oficial; alguns produtos citam método/resultado de ensaio</x:v>
      </x:c>
      <x:c r="G2" s="12" t="str">
        <x:v>https://www.polartec.com/fabrics</x:v>
      </x:c>
      <x:c r="H2" s="12" t="str">
        <x:v>Alta</x:v>
      </x:c>
      <x:c r="I2" s="12" t="str">
        <x:v>Internacional</x:v>
      </x:c>
      <x:c r="J2" s="12" t="str">
        <x:v>Solicitar amostra ao fabricante/distribuidor</x:v>
      </x:c>
      <x:c r="K2" s="12" t="str">
        <x:v>A solicitar</x:v>
      </x:c>
      <x:c r="L2" s="12" t="str">
        <x:v>Referência localizada</x:v>
      </x:c>
      <x:c r="M2" s="12" t="str">
        <x:v>Candidata</x:v>
      </x:c>
      <x:c r="N2" s="12" t="str">
        <x:v>Operations</x:v>
      </x:c>
      <x:c r="O2" s="12" t="n">
        <x:v>1</x:v>
      </x:c>
      <x:c r="P2" s="12"/>
      <x:c r="Q2" s="12"/>
      <x:c r="R2" s="12"/>
      <x:c r="S2" s="12" t="str">
        <x:v>Não revisada</x:v>
      </x:c>
      <x:c r="T2" s="12" t="str">
        <x:v>Confirmar ficha técnica/ensaio e código exato antes da aceitação.</x:v>
      </x:c>
      <x:c r="U2" s="12" t="str">
        <x:v>dimension-revision:structure.family:v0.3</x:v>
      </x:c>
      <x:c r="V2" s="12" t="str">
        <x:v>concept-revision:structure.family.weft_knit:v0.3</x:v>
      </x:c>
      <x:c r="W2" s="12"/>
      <x:c r="X2" s="12" t="str">
        <x:v>lead_only_not_asserted</x:v>
      </x:c>
      <x:c r="Y2" s="12" t="str">
        <x:v>textile-sample:ops-tx-001</x:v>
      </x:c>
      <x:c r="Z2" s="12"/>
      <x:c r="AA2" s="12"/>
      <x:c r="AB2" s="12"/>
      <x:c r="AC2" s="12"/>
      <x:c r="AD2" s="12" t="str">
        <x:v>wave-1-polartec-cordura</x:v>
      </x:c>
      <x:c r="AE2" s="12" t="str">
        <x:v>malha técnica bi-componente</x:v>
      </x:c>
      <x:c r="AF2" s="67"/>
      <x:c r="AG2" s="12"/>
      <x:c r="AH2" s="12" t="str">
        <x:v>não informado</x:v>
      </x:c>
      <x:c r="AI2" s="12"/>
      <x:c r="AJ2" s="67"/>
      <x:c r="AK2" s="12"/>
      <x:c r="AL2" s="12"/>
      <x:c r="AM2" s="12" t="str">
        <x:v>Não identificado</x:v>
      </x:c>
      <x:c r="AN2" s="12" t="str">
        <x:v>Não identificada</x:v>
      </x:c>
      <x:c r="AO2" s="12" t="str">
        <x:v>not_calculable</x:v>
      </x:c>
      <x:c r="AP2" s="12" t="str">
        <x:v>E — desconhecido / referência ainda não validada</x:v>
      </x:c>
      <x:c r="AQ2" s="68" t="n">
        <x:v>16</x:v>
      </x:c>
      <x:c r="AR2" s="68" t="n">
        <x:v>16</x:v>
      </x:c>
      <x:c r="AS2" s="68" t="n">
        <x:v>0</x:v>
      </x:c>
      <x:c r="AT2" s="68" t="n">
        <x:v>0</x:v>
      </x:c>
      <x:c r="AU2" s="68" t="n">
        <x:v>0</x:v>
      </x:c>
      <x:c r="AV2" s="68" t="n">
        <x:v>32</x:v>
      </x:c>
      <x:c r="AW2" s="12" t="str">
        <x:v>Sim</x:v>
      </x:c>
      <x:c r="AX2" s="12" t="str">
        <x:v>composição percentual ausente; gramatura ausente; sem Evidence validada; geografia de produção não especificada; extrações automáticas exigem revisão humana</x:v>
      </x:c>
      <x:c r="AY2" s="12" t="str">
        <x:v>not_applicable</x:v>
      </x:c>
    </x:row>
    <x:row r="3">
      <x:c r="A3" s="12" t="str">
        <x:v>OPS-TX-002</x:v>
      </x:c>
      <x:c r="B3" s="12" t="str">
        <x:v>Polartec</x:v>
      </x:c>
      <x:c r="C3" s="12" t="str">
        <x:v>Power Dry</x:v>
      </x:c>
      <x:c r="D3" s="12" t="str">
        <x:v>malha_trama</x:v>
      </x:c>
      <x:c r="E3" s="12" t="str">
        <x:v>malha técnica bi-componente</x:v>
      </x:c>
      <x:c r="F3" s="12" t="str">
        <x:v>Página técnica oficial; alguns produtos citam método/resultado de ensaio</x:v>
      </x:c>
      <x:c r="G3" s="12" t="str">
        <x:v>https://www.polartec.com/fabrics</x:v>
      </x:c>
      <x:c r="H3" s="12" t="str">
        <x:v>Alta</x:v>
      </x:c>
      <x:c r="I3" s="12" t="str">
        <x:v>Internacional</x:v>
      </x:c>
      <x:c r="J3" s="12" t="str">
        <x:v>Solicitar amostra ao fabricante/distribuidor</x:v>
      </x:c>
      <x:c r="K3" s="12" t="str">
        <x:v>A solicitar</x:v>
      </x:c>
      <x:c r="L3" s="12" t="str">
        <x:v>Referência localizada</x:v>
      </x:c>
      <x:c r="M3" s="12" t="str">
        <x:v>Candidata</x:v>
      </x:c>
      <x:c r="N3" s="12" t="str">
        <x:v>Operations</x:v>
      </x:c>
      <x:c r="O3" s="12" t="n">
        <x:v>1</x:v>
      </x:c>
      <x:c r="P3" s="12"/>
      <x:c r="Q3" s="12"/>
      <x:c r="R3" s="12"/>
      <x:c r="S3" s="12" t="str">
        <x:v>Não revisada</x:v>
      </x:c>
      <x:c r="T3" s="12" t="str">
        <x:v>Confirmar ficha técnica/ensaio e código exato antes da aceitação.</x:v>
      </x:c>
      <x:c r="U3" s="12" t="str">
        <x:v>dimension-revision:structure.family:v0.3</x:v>
      </x:c>
      <x:c r="V3" s="12" t="str">
        <x:v>concept-revision:structure.family.weft_knit:v0.3</x:v>
      </x:c>
      <x:c r="W3" s="12"/>
      <x:c r="X3" s="12" t="str">
        <x:v>lead_only_not_asserted</x:v>
      </x:c>
      <x:c r="Y3" s="12" t="str">
        <x:v>textile-sample:ops-tx-002</x:v>
      </x:c>
      <x:c r="Z3" s="12"/>
      <x:c r="AA3" s="12"/>
      <x:c r="AB3" s="12"/>
      <x:c r="AC3" s="12"/>
      <x:c r="AD3" s="12" t="str">
        <x:v>wave-1-polartec-cordura</x:v>
      </x:c>
      <x:c r="AE3" s="12" t="str">
        <x:v>malha técnica bi-componente</x:v>
      </x:c>
      <x:c r="AF3" s="67"/>
      <x:c r="AG3" s="12"/>
      <x:c r="AH3" s="12" t="str">
        <x:v>não informado</x:v>
      </x:c>
      <x:c r="AI3" s="12"/>
      <x:c r="AJ3" s="67"/>
      <x:c r="AK3" s="12"/>
      <x:c r="AL3" s="12"/>
      <x:c r="AM3" s="12" t="str">
        <x:v>Não identificado</x:v>
      </x:c>
      <x:c r="AN3" s="12" t="str">
        <x:v>Não identificada</x:v>
      </x:c>
      <x:c r="AO3" s="12" t="str">
        <x:v>not_calculable</x:v>
      </x:c>
      <x:c r="AP3" s="12" t="str">
        <x:v>E — desconhecido / referência ainda não validada</x:v>
      </x:c>
      <x:c r="AQ3" s="68" t="n">
        <x:v>16</x:v>
      </x:c>
      <x:c r="AR3" s="68" t="n">
        <x:v>16</x:v>
      </x:c>
      <x:c r="AS3" s="68" t="n">
        <x:v>0</x:v>
      </x:c>
      <x:c r="AT3" s="68" t="n">
        <x:v>0</x:v>
      </x:c>
      <x:c r="AU3" s="68" t="n">
        <x:v>0</x:v>
      </x:c>
      <x:c r="AV3" s="68" t="n">
        <x:v>32</x:v>
      </x:c>
      <x:c r="AW3" s="12" t="str">
        <x:v>Sim</x:v>
      </x:c>
      <x:c r="AX3" s="12" t="str">
        <x:v>composição percentual ausente; gramatura ausente; sem Evidence validada; geografia de produção não especificada; extrações automáticas exigem revisão humana</x:v>
      </x:c>
      <x:c r="AY3" s="12" t="str">
        <x:v>not_applicable</x:v>
      </x:c>
    </x:row>
    <x:row r="4">
      <x:c r="A4" s="12" t="str">
        <x:v>OPS-TX-003</x:v>
      </x:c>
      <x:c r="B4" s="12" t="str">
        <x:v>Polartec</x:v>
      </x:c>
      <x:c r="C4" s="12" t="str">
        <x:v>Power Grid</x:v>
      </x:c>
      <x:c r="D4" s="12" t="str">
        <x:v>malha_trama</x:v>
      </x:c>
      <x:c r="E4" s="12" t="str">
        <x:v>malha grid/fleece</x:v>
      </x:c>
      <x:c r="F4" s="12" t="str">
        <x:v>Página técnica oficial; alguns produtos citam método/resultado de ensaio</x:v>
      </x:c>
      <x:c r="G4" s="12" t="str">
        <x:v>https://www.polartec.com/fabrics</x:v>
      </x:c>
      <x:c r="H4" s="12" t="str">
        <x:v>Alta</x:v>
      </x:c>
      <x:c r="I4" s="12" t="str">
        <x:v>Internacional</x:v>
      </x:c>
      <x:c r="J4" s="12" t="str">
        <x:v>Solicitar amostra ao fabricante/distribuidor</x:v>
      </x:c>
      <x:c r="K4" s="12" t="str">
        <x:v>A solicitar</x:v>
      </x:c>
      <x:c r="L4" s="12" t="str">
        <x:v>Referência localizada</x:v>
      </x:c>
      <x:c r="M4" s="12" t="str">
        <x:v>Candidata</x:v>
      </x:c>
      <x:c r="N4" s="12" t="str">
        <x:v>Operations</x:v>
      </x:c>
      <x:c r="O4" s="12" t="n">
        <x:v>1</x:v>
      </x:c>
      <x:c r="P4" s="12"/>
      <x:c r="Q4" s="12"/>
      <x:c r="R4" s="12"/>
      <x:c r="S4" s="12" t="str">
        <x:v>Não revisada</x:v>
      </x:c>
      <x:c r="T4" s="12" t="str">
        <x:v>Confirmar ficha técnica/ensaio e código exato antes da aceitação.</x:v>
      </x:c>
      <x:c r="U4" s="12" t="str">
        <x:v>dimension-revision:structure.family:v0.3</x:v>
      </x:c>
      <x:c r="V4" s="12" t="str">
        <x:v>concept-revision:structure.family.weft_knit:v0.3</x:v>
      </x:c>
      <x:c r="W4" s="12" t="str">
        <x:v>concept-revision:patterning.surface_multilayer.fleece:v0.3</x:v>
      </x:c>
      <x:c r="X4" s="12" t="str">
        <x:v>lead_only_not_asserted</x:v>
      </x:c>
      <x:c r="Y4" s="12" t="str">
        <x:v>textile-sample:ops-tx-003</x:v>
      </x:c>
      <x:c r="Z4" s="12"/>
      <x:c r="AA4" s="12"/>
      <x:c r="AB4" s="12"/>
      <x:c r="AC4" s="12"/>
      <x:c r="AD4" s="12" t="str">
        <x:v>wave-1-polartec-cordura</x:v>
      </x:c>
      <x:c r="AE4" s="12" t="str">
        <x:v>malha grid/fleece</x:v>
      </x:c>
      <x:c r="AF4" s="67"/>
      <x:c r="AG4" s="12"/>
      <x:c r="AH4" s="12" t="str">
        <x:v>não informado</x:v>
      </x:c>
      <x:c r="AI4" s="12"/>
      <x:c r="AJ4" s="67"/>
      <x:c r="AK4" s="12"/>
      <x:c r="AL4" s="12"/>
      <x:c r="AM4" s="12" t="str">
        <x:v>Não identificado</x:v>
      </x:c>
      <x:c r="AN4" s="12" t="str">
        <x:v>Não identificada</x:v>
      </x:c>
      <x:c r="AO4" s="12" t="str">
        <x:v>not_calculable</x:v>
      </x:c>
      <x:c r="AP4" s="12" t="str">
        <x:v>E — desconhecido / referência ainda não validada</x:v>
      </x:c>
      <x:c r="AQ4" s="68" t="n">
        <x:v>16</x:v>
      </x:c>
      <x:c r="AR4" s="68" t="n">
        <x:v>20</x:v>
      </x:c>
      <x:c r="AS4" s="68" t="n">
        <x:v>0</x:v>
      </x:c>
      <x:c r="AT4" s="68" t="n">
        <x:v>0</x:v>
      </x:c>
      <x:c r="AU4" s="68" t="n">
        <x:v>0</x:v>
      </x:c>
      <x:c r="AV4" s="68" t="n">
        <x:v>36</x:v>
      </x:c>
      <x:c r="AW4" s="12" t="str">
        <x:v>Sim</x:v>
      </x:c>
      <x:c r="AX4" s="12" t="str">
        <x:v>composição percentual ausente; gramatura ausente; sem Evidence validada; geografia de produção não especificada; extrações automáticas exigem revisão humana</x:v>
      </x:c>
      <x:c r="AY4" s="12" t="str">
        <x:v>not_applicable</x:v>
      </x:c>
    </x:row>
    <x:row r="5">
      <x:c r="A5" s="12" t="str">
        <x:v>OPS-TX-004</x:v>
      </x:c>
      <x:c r="B5" s="12" t="str">
        <x:v>Polartec</x:v>
      </x:c>
      <x:c r="C5" s="12" t="str">
        <x:v>Power Stretch</x:v>
      </x:c>
      <x:c r="D5" s="12" t="str">
        <x:v>malha_trama</x:v>
      </x:c>
      <x:c r="E5" s="12" t="str">
        <x:v>malha elástica dupla superfície</x:v>
      </x:c>
      <x:c r="F5" s="12" t="str">
        <x:v>Página técnica oficial; alguns produtos citam método/resultado de ensaio</x:v>
      </x:c>
      <x:c r="G5" s="12" t="str">
        <x:v>https://www.polartec.com/fabrics</x:v>
      </x:c>
      <x:c r="H5" s="12" t="str">
        <x:v>Alta</x:v>
      </x:c>
      <x:c r="I5" s="12" t="str">
        <x:v>Internacional</x:v>
      </x:c>
      <x:c r="J5" s="12" t="str">
        <x:v>Solicitar amostra ao fabricante/distribuidor</x:v>
      </x:c>
      <x:c r="K5" s="12" t="str">
        <x:v>A solicitar</x:v>
      </x:c>
      <x:c r="L5" s="12" t="str">
        <x:v>Referência localizada</x:v>
      </x:c>
      <x:c r="M5" s="12" t="str">
        <x:v>Candidata</x:v>
      </x:c>
      <x:c r="N5" s="12" t="str">
        <x:v>Operations</x:v>
      </x:c>
      <x:c r="O5" s="12" t="n">
        <x:v>1</x:v>
      </x:c>
      <x:c r="P5" s="12"/>
      <x:c r="Q5" s="12"/>
      <x:c r="R5" s="12"/>
      <x:c r="S5" s="12" t="str">
        <x:v>Não revisada</x:v>
      </x:c>
      <x:c r="T5" s="12" t="str">
        <x:v>Confirmar ficha técnica/ensaio e código exato antes da aceitação.</x:v>
      </x:c>
      <x:c r="U5" s="12" t="str">
        <x:v>dimension-revision:structure.family:v0.3</x:v>
      </x:c>
      <x:c r="V5" s="12" t="str">
        <x:v>concept-revision:structure.family.weft_knit:v0.3</x:v>
      </x:c>
      <x:c r="W5" s="12" t="str">
        <x:v>concept-revision:patterning.surface_multilayer.double_face:v0.3</x:v>
      </x:c>
      <x:c r="X5" s="12" t="str">
        <x:v>lead_only_not_asserted</x:v>
      </x:c>
      <x:c r="Y5" s="12" t="str">
        <x:v>textile-sample:ops-tx-004</x:v>
      </x:c>
      <x:c r="Z5" s="12"/>
      <x:c r="AA5" s="12"/>
      <x:c r="AB5" s="12"/>
      <x:c r="AC5" s="12"/>
      <x:c r="AD5" s="12" t="str">
        <x:v>wave-1-polartec-cordura</x:v>
      </x:c>
      <x:c r="AE5" s="12" t="str">
        <x:v>malha elástica dupla superfície</x:v>
      </x:c>
      <x:c r="AF5" s="67"/>
      <x:c r="AG5" s="12"/>
      <x:c r="AH5" s="12" t="str">
        <x:v>não informado</x:v>
      </x:c>
      <x:c r="AI5" s="12"/>
      <x:c r="AJ5" s="67"/>
      <x:c r="AK5" s="12"/>
      <x:c r="AL5" s="12"/>
      <x:c r="AM5" s="12" t="str">
        <x:v>Não identificado</x:v>
      </x:c>
      <x:c r="AN5" s="12" t="str">
        <x:v>Não identificada</x:v>
      </x:c>
      <x:c r="AO5" s="12" t="str">
        <x:v>not_calculable</x:v>
      </x:c>
      <x:c r="AP5" s="12" t="str">
        <x:v>E — desconhecido / referência ainda não validada</x:v>
      </x:c>
      <x:c r="AQ5" s="68" t="n">
        <x:v>16</x:v>
      </x:c>
      <x:c r="AR5" s="68" t="n">
        <x:v>20</x:v>
      </x:c>
      <x:c r="AS5" s="68" t="n">
        <x:v>0</x:v>
      </x:c>
      <x:c r="AT5" s="68" t="n">
        <x:v>0</x:v>
      </x:c>
      <x:c r="AU5" s="68" t="n">
        <x:v>0</x:v>
      </x:c>
      <x:c r="AV5" s="68" t="n">
        <x:v>36</x:v>
      </x:c>
      <x:c r="AW5" s="12" t="str">
        <x:v>Sim</x:v>
      </x:c>
      <x:c r="AX5" s="12" t="str">
        <x:v>composição percentual ausente; gramatura ausente; sem Evidence validada; geografia de produção não especificada; extrações automáticas exigem revisão humana</x:v>
      </x:c>
      <x:c r="AY5" s="12" t="str">
        <x:v>not_applicable</x:v>
      </x:c>
    </x:row>
    <x:row r="6">
      <x:c r="A6" s="12" t="str">
        <x:v>OPS-TX-005</x:v>
      </x:c>
      <x:c r="B6" s="12" t="str">
        <x:v>Polartec</x:v>
      </x:c>
      <x:c r="C6" s="12" t="str">
        <x:v>Power Stretch Pro</x:v>
      </x:c>
      <x:c r="D6" s="12" t="str">
        <x:v>malha_trama</x:v>
      </x:c>
      <x:c r="E6" s="12" t="str">
        <x:v>malha elástica dupla superfície</x:v>
      </x:c>
      <x:c r="F6" s="12" t="str">
        <x:v>Página técnica oficial; alguns produtos citam método/resultado de ensaio</x:v>
      </x:c>
      <x:c r="G6" s="12" t="str">
        <x:v>https://www.polartec.com/fabrics</x:v>
      </x:c>
      <x:c r="H6" s="12" t="str">
        <x:v>Alta</x:v>
      </x:c>
      <x:c r="I6" s="12" t="str">
        <x:v>Internacional</x:v>
      </x:c>
      <x:c r="J6" s="12" t="str">
        <x:v>Solicitar amostra ao fabricante/distribuidor</x:v>
      </x:c>
      <x:c r="K6" s="12" t="str">
        <x:v>A solicitar</x:v>
      </x:c>
      <x:c r="L6" s="12" t="str">
        <x:v>Referência localizada</x:v>
      </x:c>
      <x:c r="M6" s="12" t="str">
        <x:v>Candidata</x:v>
      </x:c>
      <x:c r="N6" s="12" t="str">
        <x:v>Operations</x:v>
      </x:c>
      <x:c r="O6" s="12" t="n">
        <x:v>1</x:v>
      </x:c>
      <x:c r="P6" s="12"/>
      <x:c r="Q6" s="12"/>
      <x:c r="R6" s="12"/>
      <x:c r="S6" s="12" t="str">
        <x:v>Não revisada</x:v>
      </x:c>
      <x:c r="T6" s="12" t="str">
        <x:v>Confirmar ficha técnica/ensaio e código exato antes da aceitação.</x:v>
      </x:c>
      <x:c r="U6" s="12" t="str">
        <x:v>dimension-revision:structure.family:v0.3</x:v>
      </x:c>
      <x:c r="V6" s="12" t="str">
        <x:v>concept-revision:structure.family.weft_knit:v0.3</x:v>
      </x:c>
      <x:c r="W6" s="12" t="str">
        <x:v>concept-revision:patterning.surface_multilayer.double_face:v0.3</x:v>
      </x:c>
      <x:c r="X6" s="12" t="str">
        <x:v>lead_only_not_asserted</x:v>
      </x:c>
      <x:c r="Y6" s="12" t="str">
        <x:v>textile-sample:ops-tx-005</x:v>
      </x:c>
      <x:c r="Z6" s="12"/>
      <x:c r="AA6" s="12"/>
      <x:c r="AB6" s="12"/>
      <x:c r="AC6" s="12"/>
      <x:c r="AD6" s="12" t="str">
        <x:v>wave-1-polartec-cordura</x:v>
      </x:c>
      <x:c r="AE6" s="12" t="str">
        <x:v>malha elástica dupla superfície</x:v>
      </x:c>
      <x:c r="AF6" s="67"/>
      <x:c r="AG6" s="12"/>
      <x:c r="AH6" s="12" t="str">
        <x:v>não informado</x:v>
      </x:c>
      <x:c r="AI6" s="12"/>
      <x:c r="AJ6" s="67"/>
      <x:c r="AK6" s="12"/>
      <x:c r="AL6" s="12"/>
      <x:c r="AM6" s="12" t="str">
        <x:v>Não identificado</x:v>
      </x:c>
      <x:c r="AN6" s="12" t="str">
        <x:v>Não identificada</x:v>
      </x:c>
      <x:c r="AO6" s="12" t="str">
        <x:v>not_calculable</x:v>
      </x:c>
      <x:c r="AP6" s="12" t="str">
        <x:v>E — desconhecido / referência ainda não validada</x:v>
      </x:c>
      <x:c r="AQ6" s="68" t="n">
        <x:v>16</x:v>
      </x:c>
      <x:c r="AR6" s="68" t="n">
        <x:v>20</x:v>
      </x:c>
      <x:c r="AS6" s="68" t="n">
        <x:v>0</x:v>
      </x:c>
      <x:c r="AT6" s="68" t="n">
        <x:v>0</x:v>
      </x:c>
      <x:c r="AU6" s="68" t="n">
        <x:v>0</x:v>
      </x:c>
      <x:c r="AV6" s="68" t="n">
        <x:v>36</x:v>
      </x:c>
      <x:c r="AW6" s="12" t="str">
        <x:v>Sim</x:v>
      </x:c>
      <x:c r="AX6" s="12" t="str">
        <x:v>composição percentual ausente; gramatura ausente; sem Evidence validada; geografia de produção não especificada; extrações automáticas exigem revisão humana</x:v>
      </x:c>
      <x:c r="AY6" s="12" t="str">
        <x:v>not_applicable</x:v>
      </x:c>
    </x:row>
    <x:row r="7">
      <x:c r="A7" s="12" t="str">
        <x:v>OPS-TX-006</x:v>
      </x:c>
      <x:c r="B7" s="12" t="str">
        <x:v>Polartec</x:v>
      </x:c>
      <x:c r="C7" s="12" t="str">
        <x:v>Power Wool</x:v>
      </x:c>
      <x:c r="D7" s="12" t="str">
        <x:v>malha_trama</x:v>
      </x:c>
      <x:c r="E7" s="12" t="str">
        <x:v>malha bi-componente lã/sintético</x:v>
      </x:c>
      <x:c r="F7" s="12" t="str">
        <x:v>Página técnica oficial; alguns produtos citam método/resultado de ensaio</x:v>
      </x:c>
      <x:c r="G7" s="12" t="str">
        <x:v>https://www.polartec.com/fabrics</x:v>
      </x:c>
      <x:c r="H7" s="12" t="str">
        <x:v>Alta</x:v>
      </x:c>
      <x:c r="I7" s="12" t="str">
        <x:v>Internacional</x:v>
      </x:c>
      <x:c r="J7" s="12" t="str">
        <x:v>Solicitar amostra ao fabricante/distribuidor</x:v>
      </x:c>
      <x:c r="K7" s="12" t="str">
        <x:v>A solicitar</x:v>
      </x:c>
      <x:c r="L7" s="12" t="str">
        <x:v>Referência localizada</x:v>
      </x:c>
      <x:c r="M7" s="12" t="str">
        <x:v>Candidata</x:v>
      </x:c>
      <x:c r="N7" s="12" t="str">
        <x:v>Operations</x:v>
      </x:c>
      <x:c r="O7" s="12" t="n">
        <x:v>1</x:v>
      </x:c>
      <x:c r="P7" s="12"/>
      <x:c r="Q7" s="12"/>
      <x:c r="R7" s="12"/>
      <x:c r="S7" s="12" t="str">
        <x:v>Não revisada</x:v>
      </x:c>
      <x:c r="T7" s="12" t="str">
        <x:v>Confirmar ficha técnica/ensaio e código exato antes da aceitação.</x:v>
      </x:c>
      <x:c r="U7" s="12" t="str">
        <x:v>dimension-revision:structure.family:v0.3</x:v>
      </x:c>
      <x:c r="V7" s="12" t="str">
        <x:v>concept-revision:structure.family.weft_knit:v0.3</x:v>
      </x:c>
      <x:c r="W7" s="12"/>
      <x:c r="X7" s="12" t="str">
        <x:v>lead_only_not_asserted</x:v>
      </x:c>
      <x:c r="Y7" s="12" t="str">
        <x:v>textile-sample:ops-tx-006</x:v>
      </x:c>
      <x:c r="Z7" s="12"/>
      <x:c r="AA7" s="12"/>
      <x:c r="AB7" s="12"/>
      <x:c r="AC7" s="12"/>
      <x:c r="AD7" s="12" t="str">
        <x:v>wave-1-polartec-cordura</x:v>
      </x:c>
      <x:c r="AE7" s="12" t="str">
        <x:v>malha bi-componente lã/sintético</x:v>
      </x:c>
      <x:c r="AF7" s="67"/>
      <x:c r="AG7" s="12"/>
      <x:c r="AH7" s="12" t="str">
        <x:v>menção textual — revisão pendente</x:v>
      </x:c>
      <x:c r="AI7" s="12"/>
      <x:c r="AJ7" s="67"/>
      <x:c r="AK7" s="12"/>
      <x:c r="AL7" s="12" t="str">
        <x:v>lã</x:v>
      </x:c>
      <x:c r="AM7" s="12" t="str">
        <x:v>Não identificado</x:v>
      </x:c>
      <x:c r="AN7" s="12" t="str">
        <x:v>Não identificada</x:v>
      </x:c>
      <x:c r="AO7" s="12" t="str">
        <x:v>not_calculable</x:v>
      </x:c>
      <x:c r="AP7" s="12" t="str">
        <x:v>E — desconhecido / referência ainda não validada</x:v>
      </x:c>
      <x:c r="AQ7" s="68" t="n">
        <x:v>16</x:v>
      </x:c>
      <x:c r="AR7" s="68" t="n">
        <x:v>16</x:v>
      </x:c>
      <x:c r="AS7" s="68" t="n">
        <x:v>3</x:v>
      </x:c>
      <x:c r="AT7" s="68" t="n">
        <x:v>0</x:v>
      </x:c>
      <x:c r="AU7" s="68" t="n">
        <x:v>0</x:v>
      </x:c>
      <x:c r="AV7" s="68" t="n">
        <x:v>35</x:v>
      </x:c>
      <x:c r="AW7" s="12" t="str">
        <x:v>Sim</x:v>
      </x:c>
      <x:c r="AX7" s="12" t="str">
        <x:v>composição percentual ausente; gramatura ausente; sem Evidence validada; geografia de produção não especificada; extrações automáticas exigem revisão humana</x:v>
      </x:c>
      <x:c r="AY7" s="12" t="str">
        <x:v>not_applicable</x:v>
      </x:c>
    </x:row>
    <x:row r="8">
      <x:c r="A8" s="12" t="str">
        <x:v>OPS-TX-007</x:v>
      </x:c>
      <x:c r="B8" s="12" t="str">
        <x:v>Polartec</x:v>
      </x:c>
      <x:c r="C8" s="12" t="str">
        <x:v>Alpha</x:v>
      </x:c>
      <x:c r="D8" s="12" t="str">
        <x:v>malha_trama</x:v>
      </x:c>
      <x:c r="E8" s="12" t="str">
        <x:v>malha de isolamento com loft</x:v>
      </x:c>
      <x:c r="F8" s="12" t="str">
        <x:v>Página técnica oficial; alguns produtos citam método/resultado de ensaio</x:v>
      </x:c>
      <x:c r="G8" s="12" t="str">
        <x:v>https://www.polartec.com/fabrics</x:v>
      </x:c>
      <x:c r="H8" s="12" t="str">
        <x:v>Alta</x:v>
      </x:c>
      <x:c r="I8" s="12" t="str">
        <x:v>Internacional</x:v>
      </x:c>
      <x:c r="J8" s="12" t="str">
        <x:v>Solicitar amostra ao fabricante/distribuidor</x:v>
      </x:c>
      <x:c r="K8" s="12" t="str">
        <x:v>A solicitar</x:v>
      </x:c>
      <x:c r="L8" s="12" t="str">
        <x:v>Referência localizada</x:v>
      </x:c>
      <x:c r="M8" s="12" t="str">
        <x:v>Candidata</x:v>
      </x:c>
      <x:c r="N8" s="12" t="str">
        <x:v>Operations</x:v>
      </x:c>
      <x:c r="O8" s="12" t="n">
        <x:v>1</x:v>
      </x:c>
      <x:c r="P8" s="12"/>
      <x:c r="Q8" s="12"/>
      <x:c r="R8" s="12"/>
      <x:c r="S8" s="12" t="str">
        <x:v>Não revisada</x:v>
      </x:c>
      <x:c r="T8" s="12" t="str">
        <x:v>Confirmar ficha técnica/ensaio e código exato antes da aceitação.</x:v>
      </x:c>
      <x:c r="U8" s="12" t="str">
        <x:v>dimension-revision:structure.family:v0.3</x:v>
      </x:c>
      <x:c r="V8" s="12" t="str">
        <x:v>concept-revision:structure.family.weft_knit:v0.3</x:v>
      </x:c>
      <x:c r="W8" s="12"/>
      <x:c r="X8" s="12" t="str">
        <x:v>lead_only_not_asserted</x:v>
      </x:c>
      <x:c r="Y8" s="12" t="str">
        <x:v>textile-sample:ops-tx-007</x:v>
      </x:c>
      <x:c r="Z8" s="12"/>
      <x:c r="AA8" s="12"/>
      <x:c r="AB8" s="12"/>
      <x:c r="AC8" s="12"/>
      <x:c r="AD8" s="12" t="str">
        <x:v>wave-1-polartec-cordura</x:v>
      </x:c>
      <x:c r="AE8" s="12" t="str">
        <x:v>malha de isolamento com loft</x:v>
      </x:c>
      <x:c r="AF8" s="67"/>
      <x:c r="AG8" s="12"/>
      <x:c r="AH8" s="12" t="str">
        <x:v>não informado</x:v>
      </x:c>
      <x:c r="AI8" s="12"/>
      <x:c r="AJ8" s="67"/>
      <x:c r="AK8" s="12"/>
      <x:c r="AL8" s="12"/>
      <x:c r="AM8" s="12" t="str">
        <x:v>Não identificado</x:v>
      </x:c>
      <x:c r="AN8" s="12" t="str">
        <x:v>Não identificada</x:v>
      </x:c>
      <x:c r="AO8" s="12" t="str">
        <x:v>not_calculable</x:v>
      </x:c>
      <x:c r="AP8" s="12" t="str">
        <x:v>E — desconhecido / referência ainda não validada</x:v>
      </x:c>
      <x:c r="AQ8" s="68" t="n">
        <x:v>16</x:v>
      </x:c>
      <x:c r="AR8" s="68" t="n">
        <x:v>16</x:v>
      </x:c>
      <x:c r="AS8" s="68" t="n">
        <x:v>0</x:v>
      </x:c>
      <x:c r="AT8" s="68" t="n">
        <x:v>0</x:v>
      </x:c>
      <x:c r="AU8" s="68" t="n">
        <x:v>0</x:v>
      </x:c>
      <x:c r="AV8" s="68" t="n">
        <x:v>32</x:v>
      </x:c>
      <x:c r="AW8" s="12" t="str">
        <x:v>Sim</x:v>
      </x:c>
      <x:c r="AX8" s="12" t="str">
        <x:v>composição percentual ausente; gramatura ausente; sem Evidence validada; geografia de produção não especificada; extrações automáticas exigem revisão humana</x:v>
      </x:c>
      <x:c r="AY8" s="12" t="str">
        <x:v>not_applicable</x:v>
      </x:c>
    </x:row>
    <x:row r="9">
      <x:c r="A9" s="12" t="str">
        <x:v>OPS-TX-008</x:v>
      </x:c>
      <x:c r="B9" s="12" t="str">
        <x:v>Polartec</x:v>
      </x:c>
      <x:c r="C9" s="12" t="str">
        <x:v>Fleece Micro Series</x:v>
      </x:c>
      <x:c r="D9" s="12" t="str">
        <x:v>malha_trama</x:v>
      </x:c>
      <x:c r="E9" s="12" t="str">
        <x:v>fleece leve</x:v>
      </x:c>
      <x:c r="F9" s="12" t="str">
        <x:v>Página técnica oficial; alguns produtos citam método/resultado de ensaio</x:v>
      </x:c>
      <x:c r="G9" s="12" t="str">
        <x:v>https://www.polartec.com/fabrics</x:v>
      </x:c>
      <x:c r="H9" s="12" t="str">
        <x:v>Alta</x:v>
      </x:c>
      <x:c r="I9" s="12" t="str">
        <x:v>Internacional</x:v>
      </x:c>
      <x:c r="J9" s="12" t="str">
        <x:v>Solicitar amostra ao fabricante/distribuidor</x:v>
      </x:c>
      <x:c r="K9" s="12" t="str">
        <x:v>A solicitar</x:v>
      </x:c>
      <x:c r="L9" s="12" t="str">
        <x:v>Referência localizada</x:v>
      </x:c>
      <x:c r="M9" s="12" t="str">
        <x:v>Candidata</x:v>
      </x:c>
      <x:c r="N9" s="12" t="str">
        <x:v>Operations</x:v>
      </x:c>
      <x:c r="O9" s="12" t="n">
        <x:v>1</x:v>
      </x:c>
      <x:c r="P9" s="12"/>
      <x:c r="Q9" s="12"/>
      <x:c r="R9" s="12"/>
      <x:c r="S9" s="12" t="str">
        <x:v>Não revisada</x:v>
      </x:c>
      <x:c r="T9" s="12" t="str">
        <x:v>Confirmar ficha técnica/ensaio e código exato antes da aceitação.</x:v>
      </x:c>
      <x:c r="U9" s="12" t="str">
        <x:v>dimension-revision:structure.family:v0.3</x:v>
      </x:c>
      <x:c r="V9" s="12" t="str">
        <x:v>concept-revision:structure.family.weft_knit:v0.3</x:v>
      </x:c>
      <x:c r="W9" s="12" t="str">
        <x:v>concept-revision:patterning.surface_multilayer.fleece:v0.3</x:v>
      </x:c>
      <x:c r="X9" s="12" t="str">
        <x:v>lead_only_not_asserted</x:v>
      </x:c>
      <x:c r="Y9" s="12" t="str">
        <x:v>textile-sample:ops-tx-008</x:v>
      </x:c>
      <x:c r="Z9" s="12"/>
      <x:c r="AA9" s="12"/>
      <x:c r="AB9" s="12"/>
      <x:c r="AC9" s="12"/>
      <x:c r="AD9" s="12" t="str">
        <x:v>wave-1-polartec-cordura</x:v>
      </x:c>
      <x:c r="AE9" s="12" t="str">
        <x:v>fleece leve</x:v>
      </x:c>
      <x:c r="AF9" s="67"/>
      <x:c r="AG9" s="12"/>
      <x:c r="AH9" s="12" t="str">
        <x:v>não informado</x:v>
      </x:c>
      <x:c r="AI9" s="12"/>
      <x:c r="AJ9" s="67"/>
      <x:c r="AK9" s="12"/>
      <x:c r="AL9" s="12"/>
      <x:c r="AM9" s="12" t="str">
        <x:v>Não identificado</x:v>
      </x:c>
      <x:c r="AN9" s="12" t="str">
        <x:v>Não identificada</x:v>
      </x:c>
      <x:c r="AO9" s="12" t="str">
        <x:v>not_calculable</x:v>
      </x:c>
      <x:c r="AP9" s="12" t="str">
        <x:v>E — desconhecido / referência ainda não validada</x:v>
      </x:c>
      <x:c r="AQ9" s="68" t="n">
        <x:v>16</x:v>
      </x:c>
      <x:c r="AR9" s="68" t="n">
        <x:v>20</x:v>
      </x:c>
      <x:c r="AS9" s="68" t="n">
        <x:v>0</x:v>
      </x:c>
      <x:c r="AT9" s="68" t="n">
        <x:v>0</x:v>
      </x:c>
      <x:c r="AU9" s="68" t="n">
        <x:v>0</x:v>
      </x:c>
      <x:c r="AV9" s="68" t="n">
        <x:v>36</x:v>
      </x:c>
      <x:c r="AW9" s="12" t="str">
        <x:v>Sim</x:v>
      </x:c>
      <x:c r="AX9" s="12" t="str">
        <x:v>composição percentual ausente; gramatura ausente; sem Evidence validada; geografia de produção não especificada; extrações automáticas exigem revisão humana</x:v>
      </x:c>
      <x:c r="AY9" s="12" t="str">
        <x:v>not_applicable</x:v>
      </x:c>
    </x:row>
    <x:row r="10">
      <x:c r="A10" s="12" t="str">
        <x:v>OPS-TX-009</x:v>
      </x:c>
      <x:c r="B10" s="12" t="str">
        <x:v>Polartec</x:v>
      </x:c>
      <x:c r="C10" s="12" t="str">
        <x:v>Fleece 100 Series</x:v>
      </x:c>
      <x:c r="D10" s="12" t="str">
        <x:v>malha_trama</x:v>
      </x:c>
      <x:c r="E10" s="12" t="str">
        <x:v>fleece leve</x:v>
      </x:c>
      <x:c r="F10" s="12" t="str">
        <x:v>Página técnica oficial; alguns produtos citam método/resultado de ensaio</x:v>
      </x:c>
      <x:c r="G10" s="12" t="str">
        <x:v>https://www.polartec.com/fabrics</x:v>
      </x:c>
      <x:c r="H10" s="12" t="str">
        <x:v>Alta</x:v>
      </x:c>
      <x:c r="I10" s="12" t="str">
        <x:v>Internacional</x:v>
      </x:c>
      <x:c r="J10" s="12" t="str">
        <x:v>Solicitar amostra ao fabricante/distribuidor</x:v>
      </x:c>
      <x:c r="K10" s="12" t="str">
        <x:v>A solicitar</x:v>
      </x:c>
      <x:c r="L10" s="12" t="str">
        <x:v>Referência localizada</x:v>
      </x:c>
      <x:c r="M10" s="12" t="str">
        <x:v>Candidata</x:v>
      </x:c>
      <x:c r="N10" s="12" t="str">
        <x:v>Operations</x:v>
      </x:c>
      <x:c r="O10" s="12" t="n">
        <x:v>1</x:v>
      </x:c>
      <x:c r="P10" s="12"/>
      <x:c r="Q10" s="12"/>
      <x:c r="R10" s="12"/>
      <x:c r="S10" s="12" t="str">
        <x:v>Não revisada</x:v>
      </x:c>
      <x:c r="T10" s="12" t="str">
        <x:v>Confirmar ficha técnica/ensaio e código exato antes da aceitação.</x:v>
      </x:c>
      <x:c r="U10" s="12" t="str">
        <x:v>dimension-revision:structure.family:v0.3</x:v>
      </x:c>
      <x:c r="V10" s="12" t="str">
        <x:v>concept-revision:structure.family.weft_knit:v0.3</x:v>
      </x:c>
      <x:c r="W10" s="12" t="str">
        <x:v>concept-revision:patterning.surface_multilayer.fleece:v0.3</x:v>
      </x:c>
      <x:c r="X10" s="12" t="str">
        <x:v>lead_only_not_asserted</x:v>
      </x:c>
      <x:c r="Y10" s="12" t="str">
        <x:v>textile-sample:ops-tx-009</x:v>
      </x:c>
      <x:c r="Z10" s="12"/>
      <x:c r="AA10" s="12"/>
      <x:c r="AB10" s="12"/>
      <x:c r="AC10" s="12"/>
      <x:c r="AD10" s="12" t="str">
        <x:v>wave-1-polartec-cordura</x:v>
      </x:c>
      <x:c r="AE10" s="12" t="str">
        <x:v>fleece leve</x:v>
      </x:c>
      <x:c r="AF10" s="67"/>
      <x:c r="AG10" s="12"/>
      <x:c r="AH10" s="12" t="str">
        <x:v>não informado</x:v>
      </x:c>
      <x:c r="AI10" s="12"/>
      <x:c r="AJ10" s="67"/>
      <x:c r="AK10" s="12"/>
      <x:c r="AL10" s="12"/>
      <x:c r="AM10" s="12" t="str">
        <x:v>Não identificado</x:v>
      </x:c>
      <x:c r="AN10" s="12" t="str">
        <x:v>Não identificada</x:v>
      </x:c>
      <x:c r="AO10" s="12" t="str">
        <x:v>not_calculable</x:v>
      </x:c>
      <x:c r="AP10" s="12" t="str">
        <x:v>E — desconhecido / referência ainda não validada</x:v>
      </x:c>
      <x:c r="AQ10" s="68" t="n">
        <x:v>16</x:v>
      </x:c>
      <x:c r="AR10" s="68" t="n">
        <x:v>20</x:v>
      </x:c>
      <x:c r="AS10" s="68" t="n">
        <x:v>0</x:v>
      </x:c>
      <x:c r="AT10" s="68" t="n">
        <x:v>0</x:v>
      </x:c>
      <x:c r="AU10" s="68" t="n">
        <x:v>0</x:v>
      </x:c>
      <x:c r="AV10" s="68" t="n">
        <x:v>36</x:v>
      </x:c>
      <x:c r="AW10" s="12" t="str">
        <x:v>Sim</x:v>
      </x:c>
      <x:c r="AX10" s="12" t="str">
        <x:v>composição percentual ausente; gramatura ausente; sem Evidence validada; geografia de produção não especificada; extrações automáticas exigem revisão humana</x:v>
      </x:c>
      <x:c r="AY10" s="12" t="str">
        <x:v>not_applicable</x:v>
      </x:c>
    </x:row>
    <x:row r="11">
      <x:c r="A11" s="12" t="str">
        <x:v>OPS-TX-010</x:v>
      </x:c>
      <x:c r="B11" s="12" t="str">
        <x:v>Polartec</x:v>
      </x:c>
      <x:c r="C11" s="12" t="str">
        <x:v>Fleece 200 Series</x:v>
      </x:c>
      <x:c r="D11" s="12" t="str">
        <x:v>malha_trama</x:v>
      </x:c>
      <x:c r="E11" s="12" t="str">
        <x:v>fleece médio</x:v>
      </x:c>
      <x:c r="F11" s="12" t="str">
        <x:v>Página técnica oficial; alguns produtos citam método/resultado de ensaio</x:v>
      </x:c>
      <x:c r="G11" s="12" t="str">
        <x:v>https://www.polartec.com/fabrics</x:v>
      </x:c>
      <x:c r="H11" s="12" t="str">
        <x:v>Alta</x:v>
      </x:c>
      <x:c r="I11" s="12" t="str">
        <x:v>Internacional</x:v>
      </x:c>
      <x:c r="J11" s="12" t="str">
        <x:v>Solicitar amostra ao fabricante/distribuidor</x:v>
      </x:c>
      <x:c r="K11" s="12" t="str">
        <x:v>A solicitar</x:v>
      </x:c>
      <x:c r="L11" s="12" t="str">
        <x:v>Referência localizada</x:v>
      </x:c>
      <x:c r="M11" s="12" t="str">
        <x:v>Candidata</x:v>
      </x:c>
      <x:c r="N11" s="12" t="str">
        <x:v>Operations</x:v>
      </x:c>
      <x:c r="O11" s="12" t="n">
        <x:v>1</x:v>
      </x:c>
      <x:c r="P11" s="12"/>
      <x:c r="Q11" s="12"/>
      <x:c r="R11" s="12"/>
      <x:c r="S11" s="12" t="str">
        <x:v>Não revisada</x:v>
      </x:c>
      <x:c r="T11" s="12" t="str">
        <x:v>Confirmar ficha técnica/ensaio e código exato antes da aceitação.</x:v>
      </x:c>
      <x:c r="U11" s="12" t="str">
        <x:v>dimension-revision:structure.family:v0.3</x:v>
      </x:c>
      <x:c r="V11" s="12" t="str">
        <x:v>concept-revision:structure.family.weft_knit:v0.3</x:v>
      </x:c>
      <x:c r="W11" s="12" t="str">
        <x:v>concept-revision:patterning.surface_multilayer.fleece:v0.3</x:v>
      </x:c>
      <x:c r="X11" s="12" t="str">
        <x:v>lead_only_not_asserted</x:v>
      </x:c>
      <x:c r="Y11" s="12" t="str">
        <x:v>textile-sample:ops-tx-010</x:v>
      </x:c>
      <x:c r="Z11" s="12"/>
      <x:c r="AA11" s="12"/>
      <x:c r="AB11" s="12"/>
      <x:c r="AC11" s="12"/>
      <x:c r="AD11" s="12" t="str">
        <x:v>wave-1-polartec-cordura</x:v>
      </x:c>
      <x:c r="AE11" s="12" t="str">
        <x:v>fleece médio</x:v>
      </x:c>
      <x:c r="AF11" s="67"/>
      <x:c r="AG11" s="12"/>
      <x:c r="AH11" s="12" t="str">
        <x:v>não informado</x:v>
      </x:c>
      <x:c r="AI11" s="12"/>
      <x:c r="AJ11" s="67"/>
      <x:c r="AK11" s="12"/>
      <x:c r="AL11" s="12"/>
      <x:c r="AM11" s="12" t="str">
        <x:v>Não identificado</x:v>
      </x:c>
      <x:c r="AN11" s="12" t="str">
        <x:v>Não identificada</x:v>
      </x:c>
      <x:c r="AO11" s="12" t="str">
        <x:v>not_calculable</x:v>
      </x:c>
      <x:c r="AP11" s="12" t="str">
        <x:v>E — desconhecido / referência ainda não validada</x:v>
      </x:c>
      <x:c r="AQ11" s="68" t="n">
        <x:v>16</x:v>
      </x:c>
      <x:c r="AR11" s="68" t="n">
        <x:v>20</x:v>
      </x:c>
      <x:c r="AS11" s="68" t="n">
        <x:v>0</x:v>
      </x:c>
      <x:c r="AT11" s="68" t="n">
        <x:v>0</x:v>
      </x:c>
      <x:c r="AU11" s="68" t="n">
        <x:v>0</x:v>
      </x:c>
      <x:c r="AV11" s="68" t="n">
        <x:v>36</x:v>
      </x:c>
      <x:c r="AW11" s="12" t="str">
        <x:v>Sim</x:v>
      </x:c>
      <x:c r="AX11" s="12" t="str">
        <x:v>composição percentual ausente; gramatura ausente; sem Evidence validada; geografia de produção não especificada; extrações automáticas exigem revisão humana</x:v>
      </x:c>
      <x:c r="AY11" s="12" t="str">
        <x:v>not_applicable</x:v>
      </x:c>
    </x:row>
    <x:row r="12">
      <x:c r="A12" s="12" t="str">
        <x:v>OPS-TX-011</x:v>
      </x:c>
      <x:c r="B12" s="12" t="str">
        <x:v>Polartec</x:v>
      </x:c>
      <x:c r="C12" s="12" t="str">
        <x:v>Fleece 300 Series</x:v>
      </x:c>
      <x:c r="D12" s="12" t="str">
        <x:v>malha_trama</x:v>
      </x:c>
      <x:c r="E12" s="12" t="str">
        <x:v>fleece pesado</x:v>
      </x:c>
      <x:c r="F12" s="12" t="str">
        <x:v>Página técnica oficial; alguns produtos citam método/resultado de ensaio</x:v>
      </x:c>
      <x:c r="G12" s="12" t="str">
        <x:v>https://www.polartec.com/fabrics</x:v>
      </x:c>
      <x:c r="H12" s="12" t="str">
        <x:v>Alta</x:v>
      </x:c>
      <x:c r="I12" s="12" t="str">
        <x:v>Internacional</x:v>
      </x:c>
      <x:c r="J12" s="12" t="str">
        <x:v>Solicitar amostra ao fabricante/distribuidor</x:v>
      </x:c>
      <x:c r="K12" s="12" t="str">
        <x:v>A solicitar</x:v>
      </x:c>
      <x:c r="L12" s="12" t="str">
        <x:v>Referência localizada</x:v>
      </x:c>
      <x:c r="M12" s="12" t="str">
        <x:v>Candidata</x:v>
      </x:c>
      <x:c r="N12" s="12" t="str">
        <x:v>Operations</x:v>
      </x:c>
      <x:c r="O12" s="12" t="n">
        <x:v>1</x:v>
      </x:c>
      <x:c r="P12" s="12"/>
      <x:c r="Q12" s="12"/>
      <x:c r="R12" s="12"/>
      <x:c r="S12" s="12" t="str">
        <x:v>Não revisada</x:v>
      </x:c>
      <x:c r="T12" s="12" t="str">
        <x:v>Confirmar ficha técnica/ensaio e código exato antes da aceitação.</x:v>
      </x:c>
      <x:c r="U12" s="12" t="str">
        <x:v>dimension-revision:structure.family:v0.3</x:v>
      </x:c>
      <x:c r="V12" s="12" t="str">
        <x:v>concept-revision:structure.family.weft_knit:v0.3</x:v>
      </x:c>
      <x:c r="W12" s="12" t="str">
        <x:v>concept-revision:patterning.surface_multilayer.fleece:v0.3</x:v>
      </x:c>
      <x:c r="X12" s="12" t="str">
        <x:v>lead_only_not_asserted</x:v>
      </x:c>
      <x:c r="Y12" s="12" t="str">
        <x:v>textile-sample:ops-tx-011</x:v>
      </x:c>
      <x:c r="Z12" s="12"/>
      <x:c r="AA12" s="12"/>
      <x:c r="AB12" s="12"/>
      <x:c r="AC12" s="12"/>
      <x:c r="AD12" s="12" t="str">
        <x:v>wave-1-polartec-cordura</x:v>
      </x:c>
      <x:c r="AE12" s="12" t="str">
        <x:v>fleece pesado</x:v>
      </x:c>
      <x:c r="AF12" s="67"/>
      <x:c r="AG12" s="12"/>
      <x:c r="AH12" s="12" t="str">
        <x:v>não informado</x:v>
      </x:c>
      <x:c r="AI12" s="12"/>
      <x:c r="AJ12" s="67"/>
      <x:c r="AK12" s="12"/>
      <x:c r="AL12" s="12"/>
      <x:c r="AM12" s="12" t="str">
        <x:v>Não identificado</x:v>
      </x:c>
      <x:c r="AN12" s="12" t="str">
        <x:v>Não identificada</x:v>
      </x:c>
      <x:c r="AO12" s="12" t="str">
        <x:v>not_calculable</x:v>
      </x:c>
      <x:c r="AP12" s="12" t="str">
        <x:v>E — desconhecido / referência ainda não validada</x:v>
      </x:c>
      <x:c r="AQ12" s="68" t="n">
        <x:v>16</x:v>
      </x:c>
      <x:c r="AR12" s="68" t="n">
        <x:v>20</x:v>
      </x:c>
      <x:c r="AS12" s="68" t="n">
        <x:v>0</x:v>
      </x:c>
      <x:c r="AT12" s="68" t="n">
        <x:v>0</x:v>
      </x:c>
      <x:c r="AU12" s="68" t="n">
        <x:v>0</x:v>
      </x:c>
      <x:c r="AV12" s="68" t="n">
        <x:v>36</x:v>
      </x:c>
      <x:c r="AW12" s="12" t="str">
        <x:v>Sim</x:v>
      </x:c>
      <x:c r="AX12" s="12" t="str">
        <x:v>composição percentual ausente; gramatura ausente; sem Evidence validada; geografia de produção não especificada; extrações automáticas exigem revisão humana</x:v>
      </x:c>
      <x:c r="AY12" s="12" t="str">
        <x:v>not_applicable</x:v>
      </x:c>
    </x:row>
    <x:row r="13">
      <x:c r="A13" s="12" t="str">
        <x:v>OPS-TX-012</x:v>
      </x:c>
      <x:c r="B13" s="12" t="str">
        <x:v>Polartec</x:v>
      </x:c>
      <x:c r="C13" s="12" t="str">
        <x:v>High Loft</x:v>
      </x:c>
      <x:c r="D13" s="12" t="str">
        <x:v>malha_trama</x:v>
      </x:c>
      <x:c r="E13" s="12" t="str">
        <x:v>fleece de pelo alto</x:v>
      </x:c>
      <x:c r="F13" s="12" t="str">
        <x:v>Página técnica oficial; alguns produtos citam método/resultado de ensaio</x:v>
      </x:c>
      <x:c r="G13" s="12" t="str">
        <x:v>https://www.polartec.com/fabrics</x:v>
      </x:c>
      <x:c r="H13" s="12" t="str">
        <x:v>Alta</x:v>
      </x:c>
      <x:c r="I13" s="12" t="str">
        <x:v>Internacional</x:v>
      </x:c>
      <x:c r="J13" s="12" t="str">
        <x:v>Solicitar amostra ao fabricante/distribuidor</x:v>
      </x:c>
      <x:c r="K13" s="12" t="str">
        <x:v>A solicitar</x:v>
      </x:c>
      <x:c r="L13" s="12" t="str">
        <x:v>Referência localizada</x:v>
      </x:c>
      <x:c r="M13" s="12" t="str">
        <x:v>Candidata</x:v>
      </x:c>
      <x:c r="N13" s="12" t="str">
        <x:v>Operations</x:v>
      </x:c>
      <x:c r="O13" s="12" t="n">
        <x:v>1</x:v>
      </x:c>
      <x:c r="P13" s="12"/>
      <x:c r="Q13" s="12"/>
      <x:c r="R13" s="12"/>
      <x:c r="S13" s="12" t="str">
        <x:v>Não revisada</x:v>
      </x:c>
      <x:c r="T13" s="12" t="str">
        <x:v>Confirmar ficha técnica/ensaio e código exato antes da aceitação.</x:v>
      </x:c>
      <x:c r="U13" s="12" t="str">
        <x:v>dimension-revision:structure.family:v0.3</x:v>
      </x:c>
      <x:c r="V13" s="12" t="str">
        <x:v>concept-revision:structure.family.weft_knit:v0.3</x:v>
      </x:c>
      <x:c r="W13" s="12" t="str">
        <x:v>concept-revision:patterning.surface_multilayer.fleece:v0.3</x:v>
      </x:c>
      <x:c r="X13" s="12" t="str">
        <x:v>lead_only_not_asserted</x:v>
      </x:c>
      <x:c r="Y13" s="12" t="str">
        <x:v>textile-sample:ops-tx-012</x:v>
      </x:c>
      <x:c r="Z13" s="12"/>
      <x:c r="AA13" s="12"/>
      <x:c r="AB13" s="12"/>
      <x:c r="AC13" s="12"/>
      <x:c r="AD13" s="12" t="str">
        <x:v>wave-1-polartec-cordura</x:v>
      </x:c>
      <x:c r="AE13" s="12" t="str">
        <x:v>fleece de pelo alto</x:v>
      </x:c>
      <x:c r="AF13" s="67"/>
      <x:c r="AG13" s="12"/>
      <x:c r="AH13" s="12" t="str">
        <x:v>não informado</x:v>
      </x:c>
      <x:c r="AI13" s="12"/>
      <x:c r="AJ13" s="67"/>
      <x:c r="AK13" s="12"/>
      <x:c r="AL13" s="12"/>
      <x:c r="AM13" s="12" t="str">
        <x:v>Não identificado</x:v>
      </x:c>
      <x:c r="AN13" s="12" t="str">
        <x:v>Não identificada</x:v>
      </x:c>
      <x:c r="AO13" s="12" t="str">
        <x:v>not_calculable</x:v>
      </x:c>
      <x:c r="AP13" s="12" t="str">
        <x:v>E — desconhecido / referência ainda não validada</x:v>
      </x:c>
      <x:c r="AQ13" s="68" t="n">
        <x:v>16</x:v>
      </x:c>
      <x:c r="AR13" s="68" t="n">
        <x:v>20</x:v>
      </x:c>
      <x:c r="AS13" s="68" t="n">
        <x:v>0</x:v>
      </x:c>
      <x:c r="AT13" s="68" t="n">
        <x:v>0</x:v>
      </x:c>
      <x:c r="AU13" s="68" t="n">
        <x:v>0</x:v>
      </x:c>
      <x:c r="AV13" s="68" t="n">
        <x:v>36</x:v>
      </x:c>
      <x:c r="AW13" s="12" t="str">
        <x:v>Sim</x:v>
      </x:c>
      <x:c r="AX13" s="12" t="str">
        <x:v>composição percentual ausente; gramatura ausente; sem Evidence validada; geografia de produção não especificada; extrações automáticas exigem revisão humana</x:v>
      </x:c>
      <x:c r="AY13" s="12" t="str">
        <x:v>not_applicable</x:v>
      </x:c>
    </x:row>
    <x:row r="14">
      <x:c r="A14" s="12" t="str">
        <x:v>OPS-TX-013</x:v>
      </x:c>
      <x:c r="B14" s="12" t="str">
        <x:v>Polartec</x:v>
      </x:c>
      <x:c r="C14" s="12" t="str">
        <x:v>Power Air</x:v>
      </x:c>
      <x:c r="D14" s="12" t="str">
        <x:v>malha_trama</x:v>
      </x:c>
      <x:c r="E14" s="12" t="str">
        <x:v>malha de isolamento encapsulado</x:v>
      </x:c>
      <x:c r="F14" s="12" t="str">
        <x:v>Página técnica oficial; alguns produtos citam método/resultado de ensaio</x:v>
      </x:c>
      <x:c r="G14" s="12" t="str">
        <x:v>https://www.polartec.com/fabrics</x:v>
      </x:c>
      <x:c r="H14" s="12" t="str">
        <x:v>Alta</x:v>
      </x:c>
      <x:c r="I14" s="12" t="str">
        <x:v>Internacional</x:v>
      </x:c>
      <x:c r="J14" s="12" t="str">
        <x:v>Solicitar amostra ao fabricante/distribuidor</x:v>
      </x:c>
      <x:c r="K14" s="12" t="str">
        <x:v>A solicitar</x:v>
      </x:c>
      <x:c r="L14" s="12" t="str">
        <x:v>Referência localizada</x:v>
      </x:c>
      <x:c r="M14" s="12" t="str">
        <x:v>Candidata</x:v>
      </x:c>
      <x:c r="N14" s="12" t="str">
        <x:v>Operations</x:v>
      </x:c>
      <x:c r="O14" s="12" t="n">
        <x:v>1</x:v>
      </x:c>
      <x:c r="P14" s="12"/>
      <x:c r="Q14" s="12"/>
      <x:c r="R14" s="12"/>
      <x:c r="S14" s="12" t="str">
        <x:v>Não revisada</x:v>
      </x:c>
      <x:c r="T14" s="12" t="str">
        <x:v>Confirmar ficha técnica/ensaio e código exato antes da aceitação.</x:v>
      </x:c>
      <x:c r="U14" s="12" t="str">
        <x:v>dimension-revision:structure.family:v0.3</x:v>
      </x:c>
      <x:c r="V14" s="12" t="str">
        <x:v>concept-revision:structure.family.weft_knit:v0.3</x:v>
      </x:c>
      <x:c r="W14" s="12"/>
      <x:c r="X14" s="12" t="str">
        <x:v>lead_only_not_asserted</x:v>
      </x:c>
      <x:c r="Y14" s="12" t="str">
        <x:v>textile-sample:ops-tx-013</x:v>
      </x:c>
      <x:c r="Z14" s="12"/>
      <x:c r="AA14" s="12"/>
      <x:c r="AB14" s="12"/>
      <x:c r="AC14" s="12"/>
      <x:c r="AD14" s="12" t="str">
        <x:v>wave-1-polartec-cordura</x:v>
      </x:c>
      <x:c r="AE14" s="12" t="str">
        <x:v>malha de isolamento encapsulado</x:v>
      </x:c>
      <x:c r="AF14" s="67"/>
      <x:c r="AG14" s="12"/>
      <x:c r="AH14" s="12" t="str">
        <x:v>não informado</x:v>
      </x:c>
      <x:c r="AI14" s="12"/>
      <x:c r="AJ14" s="67"/>
      <x:c r="AK14" s="12"/>
      <x:c r="AL14" s="12"/>
      <x:c r="AM14" s="12" t="str">
        <x:v>Não identificado</x:v>
      </x:c>
      <x:c r="AN14" s="12" t="str">
        <x:v>Não identificada</x:v>
      </x:c>
      <x:c r="AO14" s="12" t="str">
        <x:v>not_calculable</x:v>
      </x:c>
      <x:c r="AP14" s="12" t="str">
        <x:v>E — desconhecido / referência ainda não validada</x:v>
      </x:c>
      <x:c r="AQ14" s="68" t="n">
        <x:v>16</x:v>
      </x:c>
      <x:c r="AR14" s="68" t="n">
        <x:v>16</x:v>
      </x:c>
      <x:c r="AS14" s="68" t="n">
        <x:v>0</x:v>
      </x:c>
      <x:c r="AT14" s="68" t="n">
        <x:v>0</x:v>
      </x:c>
      <x:c r="AU14" s="68" t="n">
        <x:v>0</x:v>
      </x:c>
      <x:c r="AV14" s="68" t="n">
        <x:v>32</x:v>
      </x:c>
      <x:c r="AW14" s="12" t="str">
        <x:v>Sim</x:v>
      </x:c>
      <x:c r="AX14" s="12" t="str">
        <x:v>composição percentual ausente; gramatura ausente; sem Evidence validada; geografia de produção não especificada; extrações automáticas exigem revisão humana</x:v>
      </x:c>
      <x:c r="AY14" s="12" t="str">
        <x:v>not_applicable</x:v>
      </x:c>
    </x:row>
    <x:row r="15">
      <x:c r="A15" s="12" t="str">
        <x:v>OPS-TX-014</x:v>
      </x:c>
      <x:c r="B15" s="12" t="str">
        <x:v>Polartec</x:v>
      </x:c>
      <x:c r="C15" s="12" t="str">
        <x:v>Thermal Pro</x:v>
      </x:c>
      <x:c r="D15" s="12" t="str">
        <x:v>malha_trama</x:v>
      </x:c>
      <x:c r="E15" s="12" t="str">
        <x:v>fleece térmico</x:v>
      </x:c>
      <x:c r="F15" s="12" t="str">
        <x:v>Página técnica oficial; alguns produtos citam método/resultado de ensaio</x:v>
      </x:c>
      <x:c r="G15" s="12" t="str">
        <x:v>https://www.polartec.com/fabrics</x:v>
      </x:c>
      <x:c r="H15" s="12" t="str">
        <x:v>Alta</x:v>
      </x:c>
      <x:c r="I15" s="12" t="str">
        <x:v>Internacional</x:v>
      </x:c>
      <x:c r="J15" s="12" t="str">
        <x:v>Solicitar amostra ao fabricante/distribuidor</x:v>
      </x:c>
      <x:c r="K15" s="12" t="str">
        <x:v>A solicitar</x:v>
      </x:c>
      <x:c r="L15" s="12" t="str">
        <x:v>Referência localizada</x:v>
      </x:c>
      <x:c r="M15" s="12" t="str">
        <x:v>Candidata</x:v>
      </x:c>
      <x:c r="N15" s="12" t="str">
        <x:v>Operations</x:v>
      </x:c>
      <x:c r="O15" s="12" t="n">
        <x:v>1</x:v>
      </x:c>
      <x:c r="P15" s="12"/>
      <x:c r="Q15" s="12"/>
      <x:c r="R15" s="12"/>
      <x:c r="S15" s="12" t="str">
        <x:v>Não revisada</x:v>
      </x:c>
      <x:c r="T15" s="12" t="str">
        <x:v>Confirmar ficha técnica/ensaio e código exato antes da aceitação.</x:v>
      </x:c>
      <x:c r="U15" s="12" t="str">
        <x:v>dimension-revision:structure.family:v0.3</x:v>
      </x:c>
      <x:c r="V15" s="12" t="str">
        <x:v>concept-revision:structure.family.weft_knit:v0.3</x:v>
      </x:c>
      <x:c r="W15" s="12" t="str">
        <x:v>concept-revision:patterning.surface_multilayer.fleece:v0.3</x:v>
      </x:c>
      <x:c r="X15" s="12" t="str">
        <x:v>lead_only_not_asserted</x:v>
      </x:c>
      <x:c r="Y15" s="12" t="str">
        <x:v>textile-sample:ops-tx-014</x:v>
      </x:c>
      <x:c r="Z15" s="12"/>
      <x:c r="AA15" s="12"/>
      <x:c r="AB15" s="12"/>
      <x:c r="AC15" s="12"/>
      <x:c r="AD15" s="12" t="str">
        <x:v>wave-1-polartec-cordura</x:v>
      </x:c>
      <x:c r="AE15" s="12" t="str">
        <x:v>fleece térmico</x:v>
      </x:c>
      <x:c r="AF15" s="67"/>
      <x:c r="AG15" s="12"/>
      <x:c r="AH15" s="12" t="str">
        <x:v>não informado</x:v>
      </x:c>
      <x:c r="AI15" s="12"/>
      <x:c r="AJ15" s="67"/>
      <x:c r="AK15" s="12"/>
      <x:c r="AL15" s="12"/>
      <x:c r="AM15" s="12" t="str">
        <x:v>Não identificado</x:v>
      </x:c>
      <x:c r="AN15" s="12" t="str">
        <x:v>Não identificada</x:v>
      </x:c>
      <x:c r="AO15" s="12" t="str">
        <x:v>not_calculable</x:v>
      </x:c>
      <x:c r="AP15" s="12" t="str">
        <x:v>E — desconhecido / referência ainda não validada</x:v>
      </x:c>
      <x:c r="AQ15" s="68" t="n">
        <x:v>16</x:v>
      </x:c>
      <x:c r="AR15" s="68" t="n">
        <x:v>20</x:v>
      </x:c>
      <x:c r="AS15" s="68" t="n">
        <x:v>0</x:v>
      </x:c>
      <x:c r="AT15" s="68" t="n">
        <x:v>0</x:v>
      </x:c>
      <x:c r="AU15" s="68" t="n">
        <x:v>0</x:v>
      </x:c>
      <x:c r="AV15" s="68" t="n">
        <x:v>36</x:v>
      </x:c>
      <x:c r="AW15" s="12" t="str">
        <x:v>Sim</x:v>
      </x:c>
      <x:c r="AX15" s="12" t="str">
        <x:v>composição percentual ausente; gramatura ausente; sem Evidence validada; geografia de produção não especificada; extrações automáticas exigem revisão humana</x:v>
      </x:c>
      <x:c r="AY15" s="12" t="str">
        <x:v>not_applicable</x:v>
      </x:c>
    </x:row>
    <x:row r="16">
      <x:c r="A16" s="12" t="str">
        <x:v>OPS-TX-015</x:v>
      </x:c>
      <x:c r="B16" s="12" t="str">
        <x:v>Polartec</x:v>
      </x:c>
      <x:c r="C16" s="12" t="str">
        <x:v>Wind Pro</x:v>
      </x:c>
      <x:c r="D16" s="12" t="str">
        <x:v>malha_trama</x:v>
      </x:c>
      <x:c r="E16" s="12" t="str">
        <x:v>fleece de construção fechada</x:v>
      </x:c>
      <x:c r="F16" s="12" t="str">
        <x:v>Página técnica oficial; alguns produtos citam método/resultado de ensaio</x:v>
      </x:c>
      <x:c r="G16" s="12" t="str">
        <x:v>https://www.polartec.com/fabrics</x:v>
      </x:c>
      <x:c r="H16" s="12" t="str">
        <x:v>Alta</x:v>
      </x:c>
      <x:c r="I16" s="12" t="str">
        <x:v>Internacional</x:v>
      </x:c>
      <x:c r="J16" s="12" t="str">
        <x:v>Solicitar amostra ao fabricante/distribuidor</x:v>
      </x:c>
      <x:c r="K16" s="12" t="str">
        <x:v>A solicitar</x:v>
      </x:c>
      <x:c r="L16" s="12" t="str">
        <x:v>Referência localizada</x:v>
      </x:c>
      <x:c r="M16" s="12" t="str">
        <x:v>Candidata</x:v>
      </x:c>
      <x:c r="N16" s="12" t="str">
        <x:v>Operations</x:v>
      </x:c>
      <x:c r="O16" s="12" t="n">
        <x:v>1</x:v>
      </x:c>
      <x:c r="P16" s="12"/>
      <x:c r="Q16" s="12"/>
      <x:c r="R16" s="12"/>
      <x:c r="S16" s="12" t="str">
        <x:v>Não revisada</x:v>
      </x:c>
      <x:c r="T16" s="12" t="str">
        <x:v>Confirmar ficha técnica/ensaio e código exato antes da aceitação.</x:v>
      </x:c>
      <x:c r="U16" s="12" t="str">
        <x:v>dimension-revision:structure.family:v0.3</x:v>
      </x:c>
      <x:c r="V16" s="12" t="str">
        <x:v>concept-revision:structure.family.weft_knit:v0.3</x:v>
      </x:c>
      <x:c r="W16" s="12" t="str">
        <x:v>concept-revision:patterning.surface_multilayer.fleece:v0.3</x:v>
      </x:c>
      <x:c r="X16" s="12" t="str">
        <x:v>lead_only_not_asserted</x:v>
      </x:c>
      <x:c r="Y16" s="12" t="str">
        <x:v>textile-sample:ops-tx-015</x:v>
      </x:c>
      <x:c r="Z16" s="12"/>
      <x:c r="AA16" s="12"/>
      <x:c r="AB16" s="12"/>
      <x:c r="AC16" s="12"/>
      <x:c r="AD16" s="12" t="str">
        <x:v>wave-1-polartec-cordura</x:v>
      </x:c>
      <x:c r="AE16" s="12" t="str">
        <x:v>fleece de construção fechada</x:v>
      </x:c>
      <x:c r="AF16" s="67"/>
      <x:c r="AG16" s="12"/>
      <x:c r="AH16" s="12" t="str">
        <x:v>não informado</x:v>
      </x:c>
      <x:c r="AI16" s="12"/>
      <x:c r="AJ16" s="67"/>
      <x:c r="AK16" s="12"/>
      <x:c r="AL16" s="12"/>
      <x:c r="AM16" s="12" t="str">
        <x:v>Não identificado</x:v>
      </x:c>
      <x:c r="AN16" s="12" t="str">
        <x:v>Não identificada</x:v>
      </x:c>
      <x:c r="AO16" s="12" t="str">
        <x:v>not_calculable</x:v>
      </x:c>
      <x:c r="AP16" s="12" t="str">
        <x:v>E — desconhecido / referência ainda não validada</x:v>
      </x:c>
      <x:c r="AQ16" s="68" t="n">
        <x:v>16</x:v>
      </x:c>
      <x:c r="AR16" s="68" t="n">
        <x:v>20</x:v>
      </x:c>
      <x:c r="AS16" s="68" t="n">
        <x:v>0</x:v>
      </x:c>
      <x:c r="AT16" s="68" t="n">
        <x:v>0</x:v>
      </x:c>
      <x:c r="AU16" s="68" t="n">
        <x:v>0</x:v>
      </x:c>
      <x:c r="AV16" s="68" t="n">
        <x:v>36</x:v>
      </x:c>
      <x:c r="AW16" s="12" t="str">
        <x:v>Sim</x:v>
      </x:c>
      <x:c r="AX16" s="12" t="str">
        <x:v>composição percentual ausente; gramatura ausente; sem Evidence validada; geografia de produção não especificada; extrações automáticas exigem revisão humana</x:v>
      </x:c>
      <x:c r="AY16" s="12" t="str">
        <x:v>not_applicable</x:v>
      </x:c>
    </x:row>
    <x:row r="17">
      <x:c r="A17" s="12" t="str">
        <x:v>OPS-TX-016</x:v>
      </x:c>
      <x:c r="B17" s="12" t="str">
        <x:v>Polartec</x:v>
      </x:c>
      <x:c r="C17" s="12" t="str">
        <x:v>AirCore</x:v>
      </x:c>
      <x:c r="D17" s="12" t="str">
        <x:v>estrutura_composta</x:v>
      </x:c>
      <x:c r="E17" s="12" t="str">
        <x:v>têxtil com membrana nanofibrosa</x:v>
      </x:c>
      <x:c r="F17" s="12" t="str">
        <x:v>Página técnica oficial; alguns produtos citam método/resultado de ensaio</x:v>
      </x:c>
      <x:c r="G17" s="12" t="str">
        <x:v>https://www.polartec.com/fabrics</x:v>
      </x:c>
      <x:c r="H17" s="12" t="str">
        <x:v>Alta</x:v>
      </x:c>
      <x:c r="I17" s="12" t="str">
        <x:v>Internacional</x:v>
      </x:c>
      <x:c r="J17" s="12" t="str">
        <x:v>Solicitar amostra ao fabricante/distribuidor</x:v>
      </x:c>
      <x:c r="K17" s="12" t="str">
        <x:v>A solicitar</x:v>
      </x:c>
      <x:c r="L17" s="12" t="str">
        <x:v>Referência localizada</x:v>
      </x:c>
      <x:c r="M17" s="12" t="str">
        <x:v>Candidata</x:v>
      </x:c>
      <x:c r="N17" s="12" t="str">
        <x:v>Operations</x:v>
      </x:c>
      <x:c r="O17" s="12" t="n">
        <x:v>1</x:v>
      </x:c>
      <x:c r="P17" s="12"/>
      <x:c r="Q17" s="12"/>
      <x:c r="R17" s="12"/>
      <x:c r="S17" s="12" t="str">
        <x:v>Não revisada</x:v>
      </x:c>
      <x:c r="T17" s="12" t="str">
        <x:v>Confirmar ficha técnica/ensaio e código exato antes da aceitação.</x:v>
      </x:c>
      <x:c r="U17" s="12" t="str">
        <x:v>dimension-revision:structure.family:v0.3</x:v>
      </x:c>
      <x:c r="V17" s="12" t="str">
        <x:v>concept-revision:structure.family.composite_structure:v0.3</x:v>
      </x:c>
      <x:c r="W17" s="12" t="str">
        <x:v>concept-revision:composite.type.with_membrane:v0.3</x:v>
      </x:c>
      <x:c r="X17" s="12" t="str">
        <x:v>lead_only_not_asserted</x:v>
      </x:c>
      <x:c r="Y17" s="12" t="str">
        <x:v>textile-sample:ops-tx-016</x:v>
      </x:c>
      <x:c r="Z17" s="12"/>
      <x:c r="AA17" s="12"/>
      <x:c r="AB17" s="12"/>
      <x:c r="AC17" s="12"/>
      <x:c r="AD17" s="12" t="str">
        <x:v>wave-1-polartec-cordura</x:v>
      </x:c>
      <x:c r="AE17" s="12" t="str">
        <x:v>têxtil com membrana nanofibrosa</x:v>
      </x:c>
      <x:c r="AF17" s="67"/>
      <x:c r="AG17" s="12"/>
      <x:c r="AH17" s="12" t="str">
        <x:v>não informado</x:v>
      </x:c>
      <x:c r="AI17" s="12"/>
      <x:c r="AJ17" s="67"/>
      <x:c r="AK17" s="12"/>
      <x:c r="AL17" s="12"/>
      <x:c r="AM17" s="12" t="str">
        <x:v>Não identificado</x:v>
      </x:c>
      <x:c r="AN17" s="12" t="str">
        <x:v>Não identificada</x:v>
      </x:c>
      <x:c r="AO17" s="12" t="str">
        <x:v>not_calculable</x:v>
      </x:c>
      <x:c r="AP17" s="12" t="str">
        <x:v>E — desconhecido / referência ainda não validada</x:v>
      </x:c>
      <x:c r="AQ17" s="68" t="n">
        <x:v>16</x:v>
      </x:c>
      <x:c r="AR17" s="68" t="n">
        <x:v>20</x:v>
      </x:c>
      <x:c r="AS17" s="68" t="n">
        <x:v>0</x:v>
      </x:c>
      <x:c r="AT17" s="68" t="n">
        <x:v>0</x:v>
      </x:c>
      <x:c r="AU17" s="68" t="n">
        <x:v>0</x:v>
      </x:c>
      <x:c r="AV17" s="68" t="n">
        <x:v>36</x:v>
      </x:c>
      <x:c r="AW17" s="12" t="str">
        <x:v>Sim</x:v>
      </x:c>
      <x:c r="AX17" s="12" t="str">
        <x:v>composição percentual ausente; gramatura ausente; sem Evidence validada; geografia de produção não especificada; extrações automáticas exigem revisão humana</x:v>
      </x:c>
      <x:c r="AY17" s="12" t="str">
        <x:v>not_applicable</x:v>
      </x:c>
    </x:row>
    <x:row r="18">
      <x:c r="A18" s="12" t="str">
        <x:v>OPS-TX-017</x:v>
      </x:c>
      <x:c r="B18" s="12" t="str">
        <x:v>Polartec</x:v>
      </x:c>
      <x:c r="C18" s="12" t="str">
        <x:v>Windbloc</x:v>
      </x:c>
      <x:c r="D18" s="12" t="str">
        <x:v>estrutura_composta</x:v>
      </x:c>
      <x:c r="E18" s="12" t="str">
        <x:v>malha/tecido com membrana PU</x:v>
      </x:c>
      <x:c r="F18" s="12" t="str">
        <x:v>Página técnica oficial; alguns produtos citam método/resultado de ensaio</x:v>
      </x:c>
      <x:c r="G18" s="12" t="str">
        <x:v>https://www.polartec.com/fabrics</x:v>
      </x:c>
      <x:c r="H18" s="12" t="str">
        <x:v>Alta</x:v>
      </x:c>
      <x:c r="I18" s="12" t="str">
        <x:v>Internacional</x:v>
      </x:c>
      <x:c r="J18" s="12" t="str">
        <x:v>Solicitar amostra ao fabricante/distribuidor</x:v>
      </x:c>
      <x:c r="K18" s="12" t="str">
        <x:v>A solicitar</x:v>
      </x:c>
      <x:c r="L18" s="12" t="str">
        <x:v>Referência localizada</x:v>
      </x:c>
      <x:c r="M18" s="12" t="str">
        <x:v>Candidata</x:v>
      </x:c>
      <x:c r="N18" s="12" t="str">
        <x:v>Operations</x:v>
      </x:c>
      <x:c r="O18" s="12" t="n">
        <x:v>1</x:v>
      </x:c>
      <x:c r="P18" s="12"/>
      <x:c r="Q18" s="12"/>
      <x:c r="R18" s="12"/>
      <x:c r="S18" s="12" t="str">
        <x:v>Não revisada</x:v>
      </x:c>
      <x:c r="T18" s="12" t="str">
        <x:v>Confirmar ficha técnica/ensaio e código exato antes da aceitação.</x:v>
      </x:c>
      <x:c r="U18" s="12" t="str">
        <x:v>dimension-revision:structure.family:v0.3</x:v>
      </x:c>
      <x:c r="V18" s="12" t="str">
        <x:v>concept-revision:structure.family.composite_structure:v0.3</x:v>
      </x:c>
      <x:c r="W18" s="12" t="str">
        <x:v>concept-revision:composite.type.with_membrane:v0.3</x:v>
      </x:c>
      <x:c r="X18" s="12" t="str">
        <x:v>lead_only_not_asserted</x:v>
      </x:c>
      <x:c r="Y18" s="12" t="str">
        <x:v>textile-sample:ops-tx-017</x:v>
      </x:c>
      <x:c r="Z18" s="12"/>
      <x:c r="AA18" s="12"/>
      <x:c r="AB18" s="12"/>
      <x:c r="AC18" s="12"/>
      <x:c r="AD18" s="12" t="str">
        <x:v>wave-1-polartec-cordura</x:v>
      </x:c>
      <x:c r="AE18" s="12" t="str">
        <x:v>malha/tecido com membrana PU</x:v>
      </x:c>
      <x:c r="AF18" s="67"/>
      <x:c r="AG18" s="12"/>
      <x:c r="AH18" s="12" t="str">
        <x:v>não informado</x:v>
      </x:c>
      <x:c r="AI18" s="12"/>
      <x:c r="AJ18" s="67"/>
      <x:c r="AK18" s="12"/>
      <x:c r="AL18" s="12"/>
      <x:c r="AM18" s="12" t="str">
        <x:v>Não identificado</x:v>
      </x:c>
      <x:c r="AN18" s="12" t="str">
        <x:v>Não identificada</x:v>
      </x:c>
      <x:c r="AO18" s="12" t="str">
        <x:v>not_calculable</x:v>
      </x:c>
      <x:c r="AP18" s="12" t="str">
        <x:v>E — desconhecido / referência ainda não validada</x:v>
      </x:c>
      <x:c r="AQ18" s="68" t="n">
        <x:v>16</x:v>
      </x:c>
      <x:c r="AR18" s="68" t="n">
        <x:v>20</x:v>
      </x:c>
      <x:c r="AS18" s="68" t="n">
        <x:v>0</x:v>
      </x:c>
      <x:c r="AT18" s="68" t="n">
        <x:v>0</x:v>
      </x:c>
      <x:c r="AU18" s="68" t="n">
        <x:v>0</x:v>
      </x:c>
      <x:c r="AV18" s="68" t="n">
        <x:v>36</x:v>
      </x:c>
      <x:c r="AW18" s="12" t="str">
        <x:v>Sim</x:v>
      </x:c>
      <x:c r="AX18" s="12" t="str">
        <x:v>composição percentual ausente; gramatura ausente; sem Evidence validada; geografia de produção não especificada; extrações automáticas exigem revisão humana</x:v>
      </x:c>
      <x:c r="AY18" s="12" t="str">
        <x:v>not_applicable</x:v>
      </x:c>
    </x:row>
    <x:row r="19">
      <x:c r="A19" s="12" t="str">
        <x:v>OPS-TX-018</x:v>
      </x:c>
      <x:c r="B19" s="12" t="str">
        <x:v>Polartec</x:v>
      </x:c>
      <x:c r="C19" s="12" t="str">
        <x:v>Power Shield Pro</x:v>
      </x:c>
      <x:c r="D19" s="12" t="str">
        <x:v>estrutura_composta</x:v>
      </x:c>
      <x:c r="E19" s="12" t="str">
        <x:v>laminado impermeável respirável</x:v>
      </x:c>
      <x:c r="F19" s="12" t="str">
        <x:v>Página técnica oficial; alguns produtos citam método/resultado de ensaio</x:v>
      </x:c>
      <x:c r="G19" s="12" t="str">
        <x:v>https://www.polartec.com/fabrics</x:v>
      </x:c>
      <x:c r="H19" s="12" t="str">
        <x:v>Alta</x:v>
      </x:c>
      <x:c r="I19" s="12" t="str">
        <x:v>Internacional</x:v>
      </x:c>
      <x:c r="J19" s="12" t="str">
        <x:v>Solicitar amostra ao fabricante/distribuidor</x:v>
      </x:c>
      <x:c r="K19" s="12" t="str">
        <x:v>A solicitar</x:v>
      </x:c>
      <x:c r="L19" s="12" t="str">
        <x:v>Referência localizada</x:v>
      </x:c>
      <x:c r="M19" s="12" t="str">
        <x:v>Candidata</x:v>
      </x:c>
      <x:c r="N19" s="12" t="str">
        <x:v>Operations</x:v>
      </x:c>
      <x:c r="O19" s="12" t="n">
        <x:v>1</x:v>
      </x:c>
      <x:c r="P19" s="12"/>
      <x:c r="Q19" s="12"/>
      <x:c r="R19" s="12"/>
      <x:c r="S19" s="12" t="str">
        <x:v>Não revisada</x:v>
      </x:c>
      <x:c r="T19" s="12" t="str">
        <x:v>Confirmar ficha técnica/ensaio e código exato antes da aceitação.</x:v>
      </x:c>
      <x:c r="U19" s="12" t="str">
        <x:v>dimension-revision:structure.family:v0.3</x:v>
      </x:c>
      <x:c r="V19" s="12" t="str">
        <x:v>concept-revision:structure.family.composite_structure:v0.3</x:v>
      </x:c>
      <x:c r="W19" s="12" t="str">
        <x:v>concept-revision:composite.type.laminated:v0.3</x:v>
      </x:c>
      <x:c r="X19" s="12" t="str">
        <x:v>lead_only_not_asserted</x:v>
      </x:c>
      <x:c r="Y19" s="12" t="str">
        <x:v>textile-sample:ops-tx-018</x:v>
      </x:c>
      <x:c r="Z19" s="12"/>
      <x:c r="AA19" s="12"/>
      <x:c r="AB19" s="12"/>
      <x:c r="AC19" s="12"/>
      <x:c r="AD19" s="12" t="str">
        <x:v>wave-1-polartec-cordura</x:v>
      </x:c>
      <x:c r="AE19" s="12" t="str">
        <x:v>laminado impermeável respirável</x:v>
      </x:c>
      <x:c r="AF19" s="67"/>
      <x:c r="AG19" s="12"/>
      <x:c r="AH19" s="12" t="str">
        <x:v>não informado</x:v>
      </x:c>
      <x:c r="AI19" s="12"/>
      <x:c r="AJ19" s="67"/>
      <x:c r="AK19" s="12"/>
      <x:c r="AL19" s="12"/>
      <x:c r="AM19" s="12" t="str">
        <x:v>Não identificado</x:v>
      </x:c>
      <x:c r="AN19" s="12" t="str">
        <x:v>Não identificada</x:v>
      </x:c>
      <x:c r="AO19" s="12" t="str">
        <x:v>not_calculable</x:v>
      </x:c>
      <x:c r="AP19" s="12" t="str">
        <x:v>E — desconhecido / referência ainda não validada</x:v>
      </x:c>
      <x:c r="AQ19" s="68" t="n">
        <x:v>16</x:v>
      </x:c>
      <x:c r="AR19" s="68" t="n">
        <x:v>20</x:v>
      </x:c>
      <x:c r="AS19" s="68" t="n">
        <x:v>0</x:v>
      </x:c>
      <x:c r="AT19" s="68" t="n">
        <x:v>0</x:v>
      </x:c>
      <x:c r="AU19" s="68" t="n">
        <x:v>0</x:v>
      </x:c>
      <x:c r="AV19" s="68" t="n">
        <x:v>36</x:v>
      </x:c>
      <x:c r="AW19" s="12" t="str">
        <x:v>Sim</x:v>
      </x:c>
      <x:c r="AX19" s="12" t="str">
        <x:v>composição percentual ausente; gramatura ausente; sem Evidence validada; geografia de produção não especificada; extrações automáticas exigem revisão humana</x:v>
      </x:c>
      <x:c r="AY19" s="12" t="str">
        <x:v>not_applicable</x:v>
      </x:c>
    </x:row>
    <x:row r="20">
      <x:c r="A20" s="12" t="str">
        <x:v>OPS-TX-019</x:v>
      </x:c>
      <x:c r="B20" s="12" t="str">
        <x:v>Polartec</x:v>
      </x:c>
      <x:c r="C20" s="12" t="str">
        <x:v>Power Shield RPM</x:v>
      </x:c>
      <x:c r="D20" s="12" t="str">
        <x:v>estrutura_composta</x:v>
      </x:c>
      <x:c r="E20" s="12" t="str">
        <x:v>laminado elástico impermeável</x:v>
      </x:c>
      <x:c r="F20" s="12" t="str">
        <x:v>Página técnica oficial; alguns produtos citam método/resultado de ensaio</x:v>
      </x:c>
      <x:c r="G20" s="12" t="str">
        <x:v>https://www.polartec.com/fabrics</x:v>
      </x:c>
      <x:c r="H20" s="12" t="str">
        <x:v>Alta</x:v>
      </x:c>
      <x:c r="I20" s="12" t="str">
        <x:v>Internacional</x:v>
      </x:c>
      <x:c r="J20" s="12" t="str">
        <x:v>Solicitar amostra ao fabricante/distribuidor</x:v>
      </x:c>
      <x:c r="K20" s="12" t="str">
        <x:v>A solicitar</x:v>
      </x:c>
      <x:c r="L20" s="12" t="str">
        <x:v>Referência localizada</x:v>
      </x:c>
      <x:c r="M20" s="12" t="str">
        <x:v>Candidata</x:v>
      </x:c>
      <x:c r="N20" s="12" t="str">
        <x:v>Operations</x:v>
      </x:c>
      <x:c r="O20" s="12" t="n">
        <x:v>1</x:v>
      </x:c>
      <x:c r="P20" s="12"/>
      <x:c r="Q20" s="12"/>
      <x:c r="R20" s="12"/>
      <x:c r="S20" s="12" t="str">
        <x:v>Não revisada</x:v>
      </x:c>
      <x:c r="T20" s="12" t="str">
        <x:v>Confirmar ficha técnica/ensaio e código exato antes da aceitação.</x:v>
      </x:c>
      <x:c r="U20" s="12" t="str">
        <x:v>dimension-revision:structure.family:v0.3</x:v>
      </x:c>
      <x:c r="V20" s="12" t="str">
        <x:v>concept-revision:structure.family.composite_structure:v0.3</x:v>
      </x:c>
      <x:c r="W20" s="12" t="str">
        <x:v>concept-revision:composite.type.laminated:v0.3</x:v>
      </x:c>
      <x:c r="X20" s="12" t="str">
        <x:v>lead_only_not_asserted</x:v>
      </x:c>
      <x:c r="Y20" s="12" t="str">
        <x:v>textile-sample:ops-tx-019</x:v>
      </x:c>
      <x:c r="Z20" s="12"/>
      <x:c r="AA20" s="12"/>
      <x:c r="AB20" s="12"/>
      <x:c r="AC20" s="12"/>
      <x:c r="AD20" s="12" t="str">
        <x:v>wave-1-polartec-cordura</x:v>
      </x:c>
      <x:c r="AE20" s="12" t="str">
        <x:v>laminado elástico impermeável</x:v>
      </x:c>
      <x:c r="AF20" s="67"/>
      <x:c r="AG20" s="12"/>
      <x:c r="AH20" s="12" t="str">
        <x:v>não informado</x:v>
      </x:c>
      <x:c r="AI20" s="12"/>
      <x:c r="AJ20" s="67"/>
      <x:c r="AK20" s="12"/>
      <x:c r="AL20" s="12"/>
      <x:c r="AM20" s="12" t="str">
        <x:v>Não identificado</x:v>
      </x:c>
      <x:c r="AN20" s="12" t="str">
        <x:v>Não identificada</x:v>
      </x:c>
      <x:c r="AO20" s="12" t="str">
        <x:v>not_calculable</x:v>
      </x:c>
      <x:c r="AP20" s="12" t="str">
        <x:v>E — desconhecido / referência ainda não validada</x:v>
      </x:c>
      <x:c r="AQ20" s="68" t="n">
        <x:v>16</x:v>
      </x:c>
      <x:c r="AR20" s="68" t="n">
        <x:v>20</x:v>
      </x:c>
      <x:c r="AS20" s="68" t="n">
        <x:v>0</x:v>
      </x:c>
      <x:c r="AT20" s="68" t="n">
        <x:v>0</x:v>
      </x:c>
      <x:c r="AU20" s="68" t="n">
        <x:v>0</x:v>
      </x:c>
      <x:c r="AV20" s="68" t="n">
        <x:v>36</x:v>
      </x:c>
      <x:c r="AW20" s="12" t="str">
        <x:v>Sim</x:v>
      </x:c>
      <x:c r="AX20" s="12" t="str">
        <x:v>composição percentual ausente; gramatura ausente; sem Evidence validada; geografia de produção não especificada; extrações automáticas exigem revisão humana</x:v>
      </x:c>
      <x:c r="AY20" s="12" t="str">
        <x:v>not_applicable</x:v>
      </x:c>
    </x:row>
    <x:row r="21">
      <x:c r="A21" s="12" t="str">
        <x:v>OPS-TX-020</x:v>
      </x:c>
      <x:c r="B21" s="12" t="str">
        <x:v>Polartec</x:v>
      </x:c>
      <x:c r="C21" s="12" t="str">
        <x:v>Power Dry FR</x:v>
      </x:c>
      <x:c r="D21" s="12" t="str">
        <x:v>malha_trama</x:v>
      </x:c>
      <x:c r="E21" s="12" t="str">
        <x:v>malha FR bi-componente</x:v>
      </x:c>
      <x:c r="F21" s="12" t="str">
        <x:v>Página técnica oficial; alguns produtos citam método/resultado de ensaio</x:v>
      </x:c>
      <x:c r="G21" s="12" t="str">
        <x:v>https://www.polartec.com/fabrics</x:v>
      </x:c>
      <x:c r="H21" s="12" t="str">
        <x:v>Alta</x:v>
      </x:c>
      <x:c r="I21" s="12" t="str">
        <x:v>Internacional</x:v>
      </x:c>
      <x:c r="J21" s="12" t="str">
        <x:v>Solicitar amostra ao fabricante/distribuidor</x:v>
      </x:c>
      <x:c r="K21" s="12" t="str">
        <x:v>A solicitar</x:v>
      </x:c>
      <x:c r="L21" s="12" t="str">
        <x:v>Referência localizada</x:v>
      </x:c>
      <x:c r="M21" s="12" t="str">
        <x:v>Candidata</x:v>
      </x:c>
      <x:c r="N21" s="12" t="str">
        <x:v>Operations</x:v>
      </x:c>
      <x:c r="O21" s="12" t="n">
        <x:v>1</x:v>
      </x:c>
      <x:c r="P21" s="12"/>
      <x:c r="Q21" s="12"/>
      <x:c r="R21" s="12"/>
      <x:c r="S21" s="12" t="str">
        <x:v>Não revisada</x:v>
      </x:c>
      <x:c r="T21" s="12" t="str">
        <x:v>Confirmar ficha técnica/ensaio e código exato antes da aceitação.</x:v>
      </x:c>
      <x:c r="U21" s="12" t="str">
        <x:v>dimension-revision:structure.family:v0.3</x:v>
      </x:c>
      <x:c r="V21" s="12" t="str">
        <x:v>concept-revision:structure.family.weft_knit:v0.3</x:v>
      </x:c>
      <x:c r="W21" s="12"/>
      <x:c r="X21" s="12" t="str">
        <x:v>lead_only_not_asserted</x:v>
      </x:c>
      <x:c r="Y21" s="12" t="str">
        <x:v>textile-sample:ops-tx-020</x:v>
      </x:c>
      <x:c r="Z21" s="12"/>
      <x:c r="AA21" s="12"/>
      <x:c r="AB21" s="12"/>
      <x:c r="AC21" s="12"/>
      <x:c r="AD21" s="12" t="str">
        <x:v>wave-1-polartec-cordura</x:v>
      </x:c>
      <x:c r="AE21" s="12" t="str">
        <x:v>malha FR bi-componente</x:v>
      </x:c>
      <x:c r="AF21" s="67"/>
      <x:c r="AG21" s="12"/>
      <x:c r="AH21" s="12" t="str">
        <x:v>não informado</x:v>
      </x:c>
      <x:c r="AI21" s="12"/>
      <x:c r="AJ21" s="67"/>
      <x:c r="AK21" s="12"/>
      <x:c r="AL21" s="12"/>
      <x:c r="AM21" s="12" t="str">
        <x:v>Não identificado</x:v>
      </x:c>
      <x:c r="AN21" s="12" t="str">
        <x:v>Não identificada</x:v>
      </x:c>
      <x:c r="AO21" s="12" t="str">
        <x:v>not_calculable</x:v>
      </x:c>
      <x:c r="AP21" s="12" t="str">
        <x:v>E — desconhecido / referência ainda não validada</x:v>
      </x:c>
      <x:c r="AQ21" s="68" t="n">
        <x:v>16</x:v>
      </x:c>
      <x:c r="AR21" s="68" t="n">
        <x:v>16</x:v>
      </x:c>
      <x:c r="AS21" s="68" t="n">
        <x:v>0</x:v>
      </x:c>
      <x:c r="AT21" s="68" t="n">
        <x:v>0</x:v>
      </x:c>
      <x:c r="AU21" s="68" t="n">
        <x:v>0</x:v>
      </x:c>
      <x:c r="AV21" s="68" t="n">
        <x:v>32</x:v>
      </x:c>
      <x:c r="AW21" s="12" t="str">
        <x:v>Sim</x:v>
      </x:c>
      <x:c r="AX21" s="12" t="str">
        <x:v>composição percentual ausente; gramatura ausente; sem Evidence validada; geografia de produção não especificada; extrações automáticas exigem revisão humana</x:v>
      </x:c>
      <x:c r="AY21" s="12" t="str">
        <x:v>not_applicable</x:v>
      </x:c>
    </x:row>
    <x:row r="22">
      <x:c r="A22" s="12" t="str">
        <x:v>OPS-TX-021</x:v>
      </x:c>
      <x:c r="B22" s="12" t="str">
        <x:v>CORDURA / INVISTA</x:v>
      </x:c>
      <x:c r="C22" s="12" t="str">
        <x:v>AFT Fabric</x:v>
      </x:c>
      <x:c r="D22" s="12" t="str">
        <x:v>entrelacado_trancado</x:v>
      </x:c>
      <x:c r="E22" s="12" t="str">
        <x:v>mesh técnico</x:v>
      </x:c>
      <x:c r="F22" s="12" t="str">
        <x:v>Página técnica oficial e acesso a especificações/sales sheet via Fabric Finder</x:v>
      </x:c>
      <x:c r="G22" s="12" t="str">
        <x:v>https://cordura.com/find-your-match</x:v>
      </x:c>
      <x:c r="H22" s="12" t="str">
        <x:v>Alta</x:v>
      </x:c>
      <x:c r="I22" s="12" t="str">
        <x:v>Internacional</x:v>
      </x:c>
      <x:c r="J22" s="12" t="str">
        <x:v>Solicitar amostra ao fabricante/distribuidor</x:v>
      </x:c>
      <x:c r="K22" s="12" t="str">
        <x:v>A solicitar</x:v>
      </x:c>
      <x:c r="L22" s="12" t="str">
        <x:v>Referência localizada</x:v>
      </x:c>
      <x:c r="M22" s="12" t="str">
        <x:v>Candidata</x:v>
      </x:c>
      <x:c r="N22" s="12" t="str">
        <x:v>Operations</x:v>
      </x:c>
      <x:c r="O22" s="12" t="n">
        <x:v>1</x:v>
      </x:c>
      <x:c r="P22" s="12"/>
      <x:c r="Q22" s="12"/>
      <x:c r="R22" s="12"/>
      <x:c r="S22" s="12" t="str">
        <x:v>Não revisada</x:v>
      </x:c>
      <x:c r="T22" s="12" t="str">
        <x:v>Confirmar ficha técnica/ensaio e código exato antes da aceitação.</x:v>
      </x:c>
      <x:c r="U22" s="12" t="str">
        <x:v>dimension-revision:structure.family:v0.3</x:v>
      </x:c>
      <x:c r="V22" s="12" t="str">
        <x:v>concept-revision:structure.family.interlaced_braided:v0.3</x:v>
      </x:c>
      <x:c r="W22" s="12"/>
      <x:c r="X22" s="12" t="str">
        <x:v>lead_only_not_asserted</x:v>
      </x:c>
      <x:c r="Y22" s="12" t="str">
        <x:v>textile-sample:ops-tx-021</x:v>
      </x:c>
      <x:c r="Z22" s="12"/>
      <x:c r="AA22" s="12"/>
      <x:c r="AB22" s="12"/>
      <x:c r="AC22" s="12"/>
      <x:c r="AD22" s="12" t="str">
        <x:v>wave-1-polartec-cordura</x:v>
      </x:c>
      <x:c r="AE22" s="12" t="str">
        <x:v>mesh técnico</x:v>
      </x:c>
      <x:c r="AF22" s="67"/>
      <x:c r="AG22" s="12"/>
      <x:c r="AH22" s="12" t="str">
        <x:v>não informado</x:v>
      </x:c>
      <x:c r="AI22" s="12"/>
      <x:c r="AJ22" s="67"/>
      <x:c r="AK22" s="12"/>
      <x:c r="AL22" s="12"/>
      <x:c r="AM22" s="12" t="str">
        <x:v>Não identificado</x:v>
      </x:c>
      <x:c r="AN22" s="12" t="str">
        <x:v>Não identificada</x:v>
      </x:c>
      <x:c r="AO22" s="12" t="str">
        <x:v>not_calculable</x:v>
      </x:c>
      <x:c r="AP22" s="12" t="str">
        <x:v>E — desconhecido / referência ainda não validada</x:v>
      </x:c>
      <x:c r="AQ22" s="68" t="n">
        <x:v>16</x:v>
      </x:c>
      <x:c r="AR22" s="68" t="n">
        <x:v>16</x:v>
      </x:c>
      <x:c r="AS22" s="68" t="n">
        <x:v>0</x:v>
      </x:c>
      <x:c r="AT22" s="68" t="n">
        <x:v>0</x:v>
      </x:c>
      <x:c r="AU22" s="68" t="n">
        <x:v>0</x:v>
      </x:c>
      <x:c r="AV22" s="68" t="n">
        <x:v>32</x:v>
      </x:c>
      <x:c r="AW22" s="12" t="str">
        <x:v>Sim</x:v>
      </x:c>
      <x:c r="AX22" s="12" t="str">
        <x:v>composição percentual ausente; gramatura ausente; sem Evidence validada; geografia de produção não especificada; extrações automáticas exigem revisão humana</x:v>
      </x:c>
      <x:c r="AY22" s="12" t="str">
        <x:v>not_applicable</x:v>
      </x:c>
    </x:row>
    <x:row r="23">
      <x:c r="A23" s="12" t="str">
        <x:v>OPS-TX-022</x:v>
      </x:c>
      <x:c r="B23" s="12" t="str">
        <x:v>CORDURA / INVISTA</x:v>
      </x:c>
      <x:c r="C23" s="12" t="str">
        <x:v>Ballistic Fabric</x:v>
      </x:c>
      <x:c r="D23" s="12" t="str">
        <x:v>tecido_plano</x:v>
      </x:c>
      <x:c r="E23" s="12" t="str">
        <x:v>tecido plano nylon de alta tenacidade</x:v>
      </x:c>
      <x:c r="F23" s="12" t="str">
        <x:v>Página técnica oficial e acesso a especificações/sales sheet via Fabric Finder</x:v>
      </x:c>
      <x:c r="G23" s="12" t="str">
        <x:v>https://cordura.com/find-your-match</x:v>
      </x:c>
      <x:c r="H23" s="12" t="str">
        <x:v>Alta</x:v>
      </x:c>
      <x:c r="I23" s="12" t="str">
        <x:v>Internacional</x:v>
      </x:c>
      <x:c r="J23" s="12" t="str">
        <x:v>Solicitar amostra ao fabricante/distribuidor</x:v>
      </x:c>
      <x:c r="K23" s="12" t="str">
        <x:v>A solicitar</x:v>
      </x:c>
      <x:c r="L23" s="12" t="str">
        <x:v>Referência localizada</x:v>
      </x:c>
      <x:c r="M23" s="12" t="str">
        <x:v>Candidata</x:v>
      </x:c>
      <x:c r="N23" s="12" t="str">
        <x:v>Operations</x:v>
      </x:c>
      <x:c r="O23" s="12" t="n">
        <x:v>1</x:v>
      </x:c>
      <x:c r="P23" s="12"/>
      <x:c r="Q23" s="12"/>
      <x:c r="R23" s="12"/>
      <x:c r="S23" s="12" t="str">
        <x:v>Não revisada</x:v>
      </x:c>
      <x:c r="T23" s="12" t="str">
        <x:v>Confirmar ficha técnica/ensaio e código exato antes da aceitação.</x:v>
      </x:c>
      <x:c r="U23" s="12" t="str">
        <x:v>dimension-revision:structure.family:v0.3</x:v>
      </x:c>
      <x:c r="V23" s="12" t="str">
        <x:v>concept-revision:structure.family.woven_fabric:v0.3</x:v>
      </x:c>
      <x:c r="W23" s="12"/>
      <x:c r="X23" s="12" t="str">
        <x:v>lead_only_not_asserted</x:v>
      </x:c>
      <x:c r="Y23" s="12" t="str">
        <x:v>textile-sample:ops-tx-022</x:v>
      </x:c>
      <x:c r="Z23" s="12"/>
      <x:c r="AA23" s="12"/>
      <x:c r="AB23" s="12"/>
      <x:c r="AC23" s="12"/>
      <x:c r="AD23" s="12" t="str">
        <x:v>wave-1-polartec-cordura</x:v>
      </x:c>
      <x:c r="AE23" s="12" t="str">
        <x:v>tecido plano nylon de alta tenacidade</x:v>
      </x:c>
      <x:c r="AF23" s="67"/>
      <x:c r="AG23" s="12"/>
      <x:c r="AH23" s="12" t="str">
        <x:v>menção textual — revisão pendente</x:v>
      </x:c>
      <x:c r="AI23" s="12"/>
      <x:c r="AJ23" s="67"/>
      <x:c r="AK23" s="12"/>
      <x:c r="AL23" s="12" t="str">
        <x:v>poliamida</x:v>
      </x:c>
      <x:c r="AM23" s="12" t="str">
        <x:v>Não identificado</x:v>
      </x:c>
      <x:c r="AN23" s="12" t="str">
        <x:v>Não identificada</x:v>
      </x:c>
      <x:c r="AO23" s="12" t="str">
        <x:v>not_calculable</x:v>
      </x:c>
      <x:c r="AP23" s="12" t="str">
        <x:v>E — desconhecido / referência ainda não validada</x:v>
      </x:c>
      <x:c r="AQ23" s="68" t="n">
        <x:v>16</x:v>
      </x:c>
      <x:c r="AR23" s="68" t="n">
        <x:v>16</x:v>
      </x:c>
      <x:c r="AS23" s="68" t="n">
        <x:v>3</x:v>
      </x:c>
      <x:c r="AT23" s="68" t="n">
        <x:v>0</x:v>
      </x:c>
      <x:c r="AU23" s="68" t="n">
        <x:v>0</x:v>
      </x:c>
      <x:c r="AV23" s="68" t="n">
        <x:v>35</x:v>
      </x:c>
      <x:c r="AW23" s="12" t="str">
        <x:v>Sim</x:v>
      </x:c>
      <x:c r="AX23" s="12" t="str">
        <x:v>composição percentual ausente; gramatura ausente; sem Evidence validada; geografia de produção não especificada; extrações automáticas exigem revisão humana</x:v>
      </x:c>
      <x:c r="AY23" s="12" t="str">
        <x:v>not_applicable</x:v>
      </x:c>
    </x:row>
    <x:row r="24">
      <x:c r="A24" s="12" t="str">
        <x:v>OPS-TX-023</x:v>
      </x:c>
      <x:c r="B24" s="12" t="str">
        <x:v>CORDURA / INVISTA</x:v>
      </x:c>
      <x:c r="C24" s="12" t="str">
        <x:v>Classic Fabric 500D</x:v>
      </x:c>
      <x:c r="D24" s="12" t="str">
        <x:v>tecido_plano</x:v>
      </x:c>
      <x:c r="E24" s="12" t="str">
        <x:v>tecido plano fio texturizado</x:v>
      </x:c>
      <x:c r="F24" s="12" t="str">
        <x:v>Página técnica oficial e acesso a especificações/sales sheet via Fabric Finder</x:v>
      </x:c>
      <x:c r="G24" s="12" t="str">
        <x:v>https://cordura.com/find-your-match</x:v>
      </x:c>
      <x:c r="H24" s="12" t="str">
        <x:v>Alta</x:v>
      </x:c>
      <x:c r="I24" s="12" t="str">
        <x:v>Internacional</x:v>
      </x:c>
      <x:c r="J24" s="12" t="str">
        <x:v>Solicitar amostra ao fabricante/distribuidor</x:v>
      </x:c>
      <x:c r="K24" s="12" t="str">
        <x:v>A solicitar</x:v>
      </x:c>
      <x:c r="L24" s="12" t="str">
        <x:v>Referência localizada</x:v>
      </x:c>
      <x:c r="M24" s="12" t="str">
        <x:v>Candidata</x:v>
      </x:c>
      <x:c r="N24" s="12" t="str">
        <x:v>Operations</x:v>
      </x:c>
      <x:c r="O24" s="12" t="n">
        <x:v>1</x:v>
      </x:c>
      <x:c r="P24" s="12"/>
      <x:c r="Q24" s="12"/>
      <x:c r="R24" s="12"/>
      <x:c r="S24" s="12" t="str">
        <x:v>Não revisada</x:v>
      </x:c>
      <x:c r="T24" s="12" t="str">
        <x:v>Confirmar ficha técnica/ensaio e código exato antes da aceitação.</x:v>
      </x:c>
      <x:c r="U24" s="12" t="str">
        <x:v>dimension-revision:structure.family:v0.3</x:v>
      </x:c>
      <x:c r="V24" s="12" t="str">
        <x:v>concept-revision:structure.family.woven_fabric:v0.3</x:v>
      </x:c>
      <x:c r="W24" s="12"/>
      <x:c r="X24" s="12" t="str">
        <x:v>lead_only_not_asserted</x:v>
      </x:c>
      <x:c r="Y24" s="12" t="str">
        <x:v>textile-sample:ops-tx-023</x:v>
      </x:c>
      <x:c r="Z24" s="12"/>
      <x:c r="AA24" s="12"/>
      <x:c r="AB24" s="12"/>
      <x:c r="AC24" s="12"/>
      <x:c r="AD24" s="12" t="str">
        <x:v>wave-1-polartec-cordura</x:v>
      </x:c>
      <x:c r="AE24" s="12" t="str">
        <x:v>tecido plano fio texturizado</x:v>
      </x:c>
      <x:c r="AF24" s="67"/>
      <x:c r="AG24" s="12"/>
      <x:c r="AH24" s="12" t="str">
        <x:v>não informado</x:v>
      </x:c>
      <x:c r="AI24" s="12"/>
      <x:c r="AJ24" s="67"/>
      <x:c r="AK24" s="12"/>
      <x:c r="AL24" s="12"/>
      <x:c r="AM24" s="12" t="str">
        <x:v>Não identificado</x:v>
      </x:c>
      <x:c r="AN24" s="12" t="str">
        <x:v>Não identificada</x:v>
      </x:c>
      <x:c r="AO24" s="12" t="str">
        <x:v>not_calculable</x:v>
      </x:c>
      <x:c r="AP24" s="12" t="str">
        <x:v>E — desconhecido / referência ainda não validada</x:v>
      </x:c>
      <x:c r="AQ24" s="68" t="n">
        <x:v>16</x:v>
      </x:c>
      <x:c r="AR24" s="68" t="n">
        <x:v>16</x:v>
      </x:c>
      <x:c r="AS24" s="68" t="n">
        <x:v>0</x:v>
      </x:c>
      <x:c r="AT24" s="68" t="n">
        <x:v>0</x:v>
      </x:c>
      <x:c r="AU24" s="68" t="n">
        <x:v>0</x:v>
      </x:c>
      <x:c r="AV24" s="68" t="n">
        <x:v>32</x:v>
      </x:c>
      <x:c r="AW24" s="12" t="str">
        <x:v>Sim</x:v>
      </x:c>
      <x:c r="AX24" s="12" t="str">
        <x:v>composição percentual ausente; gramatura ausente; sem Evidence validada; geografia de produção não especificada; extrações automáticas exigem revisão humana</x:v>
      </x:c>
      <x:c r="AY24" s="12" t="str">
        <x:v>not_applicable</x:v>
      </x:c>
    </x:row>
    <x:row r="25">
      <x:c r="A25" s="12" t="str">
        <x:v>OPS-TX-024</x:v>
      </x:c>
      <x:c r="B25" s="12" t="str">
        <x:v>CORDURA / INVISTA</x:v>
      </x:c>
      <x:c r="C25" s="12" t="str">
        <x:v>Classic Fabric 1000D</x:v>
      </x:c>
      <x:c r="D25" s="12" t="str">
        <x:v>tecido_plano</x:v>
      </x:c>
      <x:c r="E25" s="12" t="str">
        <x:v>tecido plano fio texturizado</x:v>
      </x:c>
      <x:c r="F25" s="12" t="str">
        <x:v>Página técnica oficial e acesso a especificações/sales sheet via Fabric Finder</x:v>
      </x:c>
      <x:c r="G25" s="12" t="str">
        <x:v>https://cordura.com/find-your-match</x:v>
      </x:c>
      <x:c r="H25" s="12" t="str">
        <x:v>Alta</x:v>
      </x:c>
      <x:c r="I25" s="12" t="str">
        <x:v>Internacional</x:v>
      </x:c>
      <x:c r="J25" s="12" t="str">
        <x:v>Solicitar amostra ao fabricante/distribuidor</x:v>
      </x:c>
      <x:c r="K25" s="12" t="str">
        <x:v>A solicitar</x:v>
      </x:c>
      <x:c r="L25" s="12" t="str">
        <x:v>Referência localizada</x:v>
      </x:c>
      <x:c r="M25" s="12" t="str">
        <x:v>Candidata</x:v>
      </x:c>
      <x:c r="N25" s="12" t="str">
        <x:v>Operations</x:v>
      </x:c>
      <x:c r="O25" s="12" t="n">
        <x:v>1</x:v>
      </x:c>
      <x:c r="P25" s="12"/>
      <x:c r="Q25" s="12"/>
      <x:c r="R25" s="12"/>
      <x:c r="S25" s="12" t="str">
        <x:v>Não revisada</x:v>
      </x:c>
      <x:c r="T25" s="12" t="str">
        <x:v>Confirmar ficha técnica/ensaio e código exato antes da aceitação.</x:v>
      </x:c>
      <x:c r="U25" s="12" t="str">
        <x:v>dimension-revision:structure.family:v0.3</x:v>
      </x:c>
      <x:c r="V25" s="12" t="str">
        <x:v>concept-revision:structure.family.woven_fabric:v0.3</x:v>
      </x:c>
      <x:c r="W25" s="12"/>
      <x:c r="X25" s="12" t="str">
        <x:v>lead_only_not_asserted</x:v>
      </x:c>
      <x:c r="Y25" s="12" t="str">
        <x:v>textile-sample:ops-tx-024</x:v>
      </x:c>
      <x:c r="Z25" s="12"/>
      <x:c r="AA25" s="12"/>
      <x:c r="AB25" s="12"/>
      <x:c r="AC25" s="12"/>
      <x:c r="AD25" s="12" t="str">
        <x:v>wave-1-polartec-cordura</x:v>
      </x:c>
      <x:c r="AE25" s="12" t="str">
        <x:v>tecido plano fio texturizado</x:v>
      </x:c>
      <x:c r="AF25" s="67"/>
      <x:c r="AG25" s="12"/>
      <x:c r="AH25" s="12" t="str">
        <x:v>não informado</x:v>
      </x:c>
      <x:c r="AI25" s="12"/>
      <x:c r="AJ25" s="67"/>
      <x:c r="AK25" s="12"/>
      <x:c r="AL25" s="12"/>
      <x:c r="AM25" s="12" t="str">
        <x:v>Não identificado</x:v>
      </x:c>
      <x:c r="AN25" s="12" t="str">
        <x:v>Não identificada</x:v>
      </x:c>
      <x:c r="AO25" s="12" t="str">
        <x:v>not_calculable</x:v>
      </x:c>
      <x:c r="AP25" s="12" t="str">
        <x:v>E — desconhecido / referência ainda não validada</x:v>
      </x:c>
      <x:c r="AQ25" s="68" t="n">
        <x:v>16</x:v>
      </x:c>
      <x:c r="AR25" s="68" t="n">
        <x:v>16</x:v>
      </x:c>
      <x:c r="AS25" s="68" t="n">
        <x:v>0</x:v>
      </x:c>
      <x:c r="AT25" s="68" t="n">
        <x:v>0</x:v>
      </x:c>
      <x:c r="AU25" s="68" t="n">
        <x:v>0</x:v>
      </x:c>
      <x:c r="AV25" s="68" t="n">
        <x:v>32</x:v>
      </x:c>
      <x:c r="AW25" s="12" t="str">
        <x:v>Sim</x:v>
      </x:c>
      <x:c r="AX25" s="12" t="str">
        <x:v>composição percentual ausente; gramatura ausente; sem Evidence validada; geografia de produção não especificada; extrações automáticas exigem revisão humana</x:v>
      </x:c>
      <x:c r="AY25" s="12" t="str">
        <x:v>not_applicable</x:v>
      </x:c>
    </x:row>
    <x:row r="26">
      <x:c r="A26" s="12" t="str">
        <x:v>OPS-TX-025</x:v>
      </x:c>
      <x:c r="B26" s="12" t="str">
        <x:v>CORDURA / INVISTA</x:v>
      </x:c>
      <x:c r="C26" s="12" t="str">
        <x:v>Combat Wool Fabric</x:v>
      </x:c>
      <x:c r="D26" s="12" t="str">
        <x:v>tecido_plano</x:v>
      </x:c>
      <x:c r="E26" s="12" t="str">
        <x:v>tecido plano mistura lã/nylon</x:v>
      </x:c>
      <x:c r="F26" s="12" t="str">
        <x:v>Página técnica oficial e acesso a especificações/sales sheet via Fabric Finder</x:v>
      </x:c>
      <x:c r="G26" s="12" t="str">
        <x:v>https://cordura.com/find-your-match</x:v>
      </x:c>
      <x:c r="H26" s="12" t="str">
        <x:v>Alta</x:v>
      </x:c>
      <x:c r="I26" s="12" t="str">
        <x:v>Internacional</x:v>
      </x:c>
      <x:c r="J26" s="12" t="str">
        <x:v>Solicitar amostra ao fabricante/distribuidor</x:v>
      </x:c>
      <x:c r="K26" s="12" t="str">
        <x:v>A solicitar</x:v>
      </x:c>
      <x:c r="L26" s="12" t="str">
        <x:v>Referência localizada</x:v>
      </x:c>
      <x:c r="M26" s="12" t="str">
        <x:v>Candidata</x:v>
      </x:c>
      <x:c r="N26" s="12" t="str">
        <x:v>Operations</x:v>
      </x:c>
      <x:c r="O26" s="12" t="n">
        <x:v>1</x:v>
      </x:c>
      <x:c r="P26" s="12"/>
      <x:c r="Q26" s="12"/>
      <x:c r="R26" s="12"/>
      <x:c r="S26" s="12" t="str">
        <x:v>Não revisada</x:v>
      </x:c>
      <x:c r="T26" s="12" t="str">
        <x:v>Confirmar ficha técnica/ensaio e código exato antes da aceitação.</x:v>
      </x:c>
      <x:c r="U26" s="12" t="str">
        <x:v>dimension-revision:structure.family:v0.3</x:v>
      </x:c>
      <x:c r="V26" s="12" t="str">
        <x:v>concept-revision:structure.family.woven_fabric:v0.3</x:v>
      </x:c>
      <x:c r="W26" s="12"/>
      <x:c r="X26" s="12" t="str">
        <x:v>lead_only_not_asserted</x:v>
      </x:c>
      <x:c r="Y26" s="12" t="str">
        <x:v>textile-sample:ops-tx-025</x:v>
      </x:c>
      <x:c r="Z26" s="12"/>
      <x:c r="AA26" s="12"/>
      <x:c r="AB26" s="12"/>
      <x:c r="AC26" s="12"/>
      <x:c r="AD26" s="12" t="str">
        <x:v>wave-1-polartec-cordura</x:v>
      </x:c>
      <x:c r="AE26" s="12" t="str">
        <x:v>tecido plano mistura lã/nylon</x:v>
      </x:c>
      <x:c r="AF26" s="67"/>
      <x:c r="AG26" s="12"/>
      <x:c r="AH26" s="12" t="str">
        <x:v>menção textual — revisão pendente</x:v>
      </x:c>
      <x:c r="AI26" s="12"/>
      <x:c r="AJ26" s="67"/>
      <x:c r="AK26" s="12"/>
      <x:c r="AL26" s="12" t="str">
        <x:v>poliamida, lã</x:v>
      </x:c>
      <x:c r="AM26" s="12" t="str">
        <x:v>Não identificado</x:v>
      </x:c>
      <x:c r="AN26" s="12" t="str">
        <x:v>Não identificada</x:v>
      </x:c>
      <x:c r="AO26" s="12" t="str">
        <x:v>not_calculable</x:v>
      </x:c>
      <x:c r="AP26" s="12" t="str">
        <x:v>E — desconhecido / referência ainda não validada</x:v>
      </x:c>
      <x:c r="AQ26" s="68" t="n">
        <x:v>16</x:v>
      </x:c>
      <x:c r="AR26" s="68" t="n">
        <x:v>16</x:v>
      </x:c>
      <x:c r="AS26" s="68" t="n">
        <x:v>3</x:v>
      </x:c>
      <x:c r="AT26" s="68" t="n">
        <x:v>0</x:v>
      </x:c>
      <x:c r="AU26" s="68" t="n">
        <x:v>0</x:v>
      </x:c>
      <x:c r="AV26" s="68" t="n">
        <x:v>35</x:v>
      </x:c>
      <x:c r="AW26" s="12" t="str">
        <x:v>Sim</x:v>
      </x:c>
      <x:c r="AX26" s="12" t="str">
        <x:v>composição percentual ausente; gramatura ausente; sem Evidence validada; geografia de produção não especificada; extrações automáticas exigem revisão humana</x:v>
      </x:c>
      <x:c r="AY26" s="12" t="str">
        <x:v>not_applicable</x:v>
      </x:c>
    </x:row>
    <x:row r="27">
      <x:c r="A27" s="12" t="str">
        <x:v>OPS-TX-026</x:v>
      </x:c>
      <x:c r="B27" s="12" t="str">
        <x:v>CORDURA / INVISTA</x:v>
      </x:c>
      <x:c r="C27" s="12" t="str">
        <x:v>Denim Fabric</x:v>
      </x:c>
      <x:c r="D27" s="12" t="str">
        <x:v>tecido_plano</x:v>
      </x:c>
      <x:c r="E27" s="12" t="str">
        <x:v>sarja/denim</x:v>
      </x:c>
      <x:c r="F27" s="12" t="str">
        <x:v>Página técnica oficial e acesso a especificações/sales sheet via Fabric Finder</x:v>
      </x:c>
      <x:c r="G27" s="12" t="str">
        <x:v>https://cordura.com/find-your-match</x:v>
      </x:c>
      <x:c r="H27" s="12" t="str">
        <x:v>Alta</x:v>
      </x:c>
      <x:c r="I27" s="12" t="str">
        <x:v>Internacional</x:v>
      </x:c>
      <x:c r="J27" s="12" t="str">
        <x:v>Solicitar amostra ao fabricante/distribuidor</x:v>
      </x:c>
      <x:c r="K27" s="12" t="str">
        <x:v>A solicitar</x:v>
      </x:c>
      <x:c r="L27" s="12" t="str">
        <x:v>Referência localizada</x:v>
      </x:c>
      <x:c r="M27" s="12" t="str">
        <x:v>Candidata</x:v>
      </x:c>
      <x:c r="N27" s="12" t="str">
        <x:v>Operations</x:v>
      </x:c>
      <x:c r="O27" s="12" t="n">
        <x:v>1</x:v>
      </x:c>
      <x:c r="P27" s="12"/>
      <x:c r="Q27" s="12"/>
      <x:c r="R27" s="12"/>
      <x:c r="S27" s="12" t="str">
        <x:v>Não revisada</x:v>
      </x:c>
      <x:c r="T27" s="12" t="str">
        <x:v>Confirmar ficha técnica/ensaio e código exato antes da aceitação.</x:v>
      </x:c>
      <x:c r="U27" s="12" t="str">
        <x:v>dimension-revision:structure.family:v0.3</x:v>
      </x:c>
      <x:c r="V27" s="12" t="str">
        <x:v>concept-revision:structure.family.woven_fabric:v0.3</x:v>
      </x:c>
      <x:c r="W27" s="12" t="str">
        <x:v>concept-revision:construction.primary.twill:v0.3</x:v>
      </x:c>
      <x:c r="X27" s="12" t="str">
        <x:v>lead_only_not_asserted</x:v>
      </x:c>
      <x:c r="Y27" s="12" t="str">
        <x:v>textile-sample:ops-tx-026</x:v>
      </x:c>
      <x:c r="Z27" s="12"/>
      <x:c r="AA27" s="12"/>
      <x:c r="AB27" s="12"/>
      <x:c r="AC27" s="12"/>
      <x:c r="AD27" s="12" t="str">
        <x:v>wave-1-polartec-cordura</x:v>
      </x:c>
      <x:c r="AE27" s="12" t="str">
        <x:v>sarja/denim</x:v>
      </x:c>
      <x:c r="AF27" s="67"/>
      <x:c r="AG27" s="12"/>
      <x:c r="AH27" s="12" t="str">
        <x:v>não informado</x:v>
      </x:c>
      <x:c r="AI27" s="12"/>
      <x:c r="AJ27" s="67"/>
      <x:c r="AK27" s="12"/>
      <x:c r="AL27" s="12"/>
      <x:c r="AM27" s="12" t="str">
        <x:v>Não identificado</x:v>
      </x:c>
      <x:c r="AN27" s="12" t="str">
        <x:v>Não identificada</x:v>
      </x:c>
      <x:c r="AO27" s="12" t="str">
        <x:v>not_calculable</x:v>
      </x:c>
      <x:c r="AP27" s="12" t="str">
        <x:v>E — desconhecido / referência ainda não validada</x:v>
      </x:c>
      <x:c r="AQ27" s="68" t="n">
        <x:v>16</x:v>
      </x:c>
      <x:c r="AR27" s="68" t="n">
        <x:v>20</x:v>
      </x:c>
      <x:c r="AS27" s="68" t="n">
        <x:v>0</x:v>
      </x:c>
      <x:c r="AT27" s="68" t="n">
        <x:v>0</x:v>
      </x:c>
      <x:c r="AU27" s="68" t="n">
        <x:v>0</x:v>
      </x:c>
      <x:c r="AV27" s="68" t="n">
        <x:v>36</x:v>
      </x:c>
      <x:c r="AW27" s="12" t="str">
        <x:v>Sim</x:v>
      </x:c>
      <x:c r="AX27" s="12" t="str">
        <x:v>composição percentual ausente; gramatura ausente; sem Evidence validada; geografia de produção não especificada; extrações automáticas exigem revisão humana</x:v>
      </x:c>
      <x:c r="AY27" s="12" t="str">
        <x:v>not_applicable</x:v>
      </x:c>
    </x:row>
    <x:row r="28">
      <x:c r="A28" s="12" t="str">
        <x:v>OPS-TX-027</x:v>
      </x:c>
      <x:c r="B28" s="12" t="str">
        <x:v>CORDURA / INVISTA</x:v>
      </x:c>
      <x:c r="C28" s="12" t="str">
        <x:v>Hi-Vis T485 Fabric</x:v>
      </x:c>
      <x:c r="D28" s="12" t="str">
        <x:v>tecido_plano</x:v>
      </x:c>
      <x:c r="E28" s="12" t="str">
        <x:v>tecido plano alta visibilidade</x:v>
      </x:c>
      <x:c r="F28" s="12" t="str">
        <x:v>Página técnica oficial e acesso a especificações/sales sheet via Fabric Finder</x:v>
      </x:c>
      <x:c r="G28" s="12" t="str">
        <x:v>https://cordura.com/find-your-match</x:v>
      </x:c>
      <x:c r="H28" s="12" t="str">
        <x:v>Alta</x:v>
      </x:c>
      <x:c r="I28" s="12" t="str">
        <x:v>Internacional</x:v>
      </x:c>
      <x:c r="J28" s="12" t="str">
        <x:v>Solicitar amostra ao fabricante/distribuidor</x:v>
      </x:c>
      <x:c r="K28" s="12" t="str">
        <x:v>A solicitar</x:v>
      </x:c>
      <x:c r="L28" s="12" t="str">
        <x:v>Referência localizada</x:v>
      </x:c>
      <x:c r="M28" s="12" t="str">
        <x:v>Candidata</x:v>
      </x:c>
      <x:c r="N28" s="12" t="str">
        <x:v>Operations</x:v>
      </x:c>
      <x:c r="O28" s="12" t="n">
        <x:v>1</x:v>
      </x:c>
      <x:c r="P28" s="12"/>
      <x:c r="Q28" s="12"/>
      <x:c r="R28" s="12"/>
      <x:c r="S28" s="12" t="str">
        <x:v>Não revisada</x:v>
      </x:c>
      <x:c r="T28" s="12" t="str">
        <x:v>Confirmar ficha técnica/ensaio e código exato antes da aceitação.</x:v>
      </x:c>
      <x:c r="U28" s="12" t="str">
        <x:v>dimension-revision:structure.family:v0.3</x:v>
      </x:c>
      <x:c r="V28" s="12" t="str">
        <x:v>concept-revision:structure.family.woven_fabric:v0.3</x:v>
      </x:c>
      <x:c r="W28" s="12"/>
      <x:c r="X28" s="12" t="str">
        <x:v>lead_only_not_asserted</x:v>
      </x:c>
      <x:c r="Y28" s="12" t="str">
        <x:v>textile-sample:ops-tx-027</x:v>
      </x:c>
      <x:c r="Z28" s="12"/>
      <x:c r="AA28" s="12"/>
      <x:c r="AB28" s="12"/>
      <x:c r="AC28" s="12"/>
      <x:c r="AD28" s="12" t="str">
        <x:v>wave-1-polartec-cordura</x:v>
      </x:c>
      <x:c r="AE28" s="12" t="str">
        <x:v>tecido plano alta visibilidade</x:v>
      </x:c>
      <x:c r="AF28" s="67"/>
      <x:c r="AG28" s="12"/>
      <x:c r="AH28" s="12" t="str">
        <x:v>não informado</x:v>
      </x:c>
      <x:c r="AI28" s="12"/>
      <x:c r="AJ28" s="67"/>
      <x:c r="AK28" s="12"/>
      <x:c r="AL28" s="12"/>
      <x:c r="AM28" s="12" t="str">
        <x:v>Não identificado</x:v>
      </x:c>
      <x:c r="AN28" s="12" t="str">
        <x:v>Não identificada</x:v>
      </x:c>
      <x:c r="AO28" s="12" t="str">
        <x:v>not_calculable</x:v>
      </x:c>
      <x:c r="AP28" s="12" t="str">
        <x:v>E — desconhecido / referência ainda não validada</x:v>
      </x:c>
      <x:c r="AQ28" s="68" t="n">
        <x:v>16</x:v>
      </x:c>
      <x:c r="AR28" s="68" t="n">
        <x:v>16</x:v>
      </x:c>
      <x:c r="AS28" s="68" t="n">
        <x:v>0</x:v>
      </x:c>
      <x:c r="AT28" s="68" t="n">
        <x:v>0</x:v>
      </x:c>
      <x:c r="AU28" s="68" t="n">
        <x:v>0</x:v>
      </x:c>
      <x:c r="AV28" s="68" t="n">
        <x:v>32</x:v>
      </x:c>
      <x:c r="AW28" s="12" t="str">
        <x:v>Sim</x:v>
      </x:c>
      <x:c r="AX28" s="12" t="str">
        <x:v>composição percentual ausente; gramatura ausente; sem Evidence validada; geografia de produção não especificada; extrações automáticas exigem revisão humana</x:v>
      </x:c>
      <x:c r="AY28" s="12" t="str">
        <x:v>not_applicable</x:v>
      </x:c>
    </x:row>
    <x:row r="29">
      <x:c r="A29" s="12" t="str">
        <x:v>OPS-TX-028</x:v>
      </x:c>
      <x:c r="B29" s="12" t="str">
        <x:v>CORDURA / INVISTA</x:v>
      </x:c>
      <x:c r="C29" s="12" t="str">
        <x:v>HP Fabric</x:v>
      </x:c>
      <x:c r="D29" s="12" t="str">
        <x:v>tecido_plano</x:v>
      </x:c>
      <x:c r="E29" s="12" t="str">
        <x:v>tecido plano poliéster para impressão</x:v>
      </x:c>
      <x:c r="F29" s="12" t="str">
        <x:v>Página técnica oficial e acesso a especificações/sales sheet via Fabric Finder</x:v>
      </x:c>
      <x:c r="G29" s="12" t="str">
        <x:v>https://cordura.com/find-your-match</x:v>
      </x:c>
      <x:c r="H29" s="12" t="str">
        <x:v>Alta</x:v>
      </x:c>
      <x:c r="I29" s="12" t="str">
        <x:v>Internacional</x:v>
      </x:c>
      <x:c r="J29" s="12" t="str">
        <x:v>Solicitar amostra ao fabricante/distribuidor</x:v>
      </x:c>
      <x:c r="K29" s="12" t="str">
        <x:v>A solicitar</x:v>
      </x:c>
      <x:c r="L29" s="12" t="str">
        <x:v>Referência localizada</x:v>
      </x:c>
      <x:c r="M29" s="12" t="str">
        <x:v>Candidata</x:v>
      </x:c>
      <x:c r="N29" s="12" t="str">
        <x:v>Operations</x:v>
      </x:c>
      <x:c r="O29" s="12" t="n">
        <x:v>1</x:v>
      </x:c>
      <x:c r="P29" s="12"/>
      <x:c r="Q29" s="12"/>
      <x:c r="R29" s="12"/>
      <x:c r="S29" s="12" t="str">
        <x:v>Não revisada</x:v>
      </x:c>
      <x:c r="T29" s="12" t="str">
        <x:v>Confirmar ficha técnica/ensaio e código exato antes da aceitação.</x:v>
      </x:c>
      <x:c r="U29" s="12" t="str">
        <x:v>dimension-revision:structure.family:v0.3</x:v>
      </x:c>
      <x:c r="V29" s="12" t="str">
        <x:v>concept-revision:structure.family.woven_fabric:v0.3</x:v>
      </x:c>
      <x:c r="W29" s="12"/>
      <x:c r="X29" s="12" t="str">
        <x:v>lead_only_not_asserted</x:v>
      </x:c>
      <x:c r="Y29" s="12" t="str">
        <x:v>textile-sample:ops-tx-028</x:v>
      </x:c>
      <x:c r="Z29" s="12"/>
      <x:c r="AA29" s="12"/>
      <x:c r="AB29" s="12"/>
      <x:c r="AC29" s="12"/>
      <x:c r="AD29" s="12" t="str">
        <x:v>wave-1-polartec-cordura</x:v>
      </x:c>
      <x:c r="AE29" s="12" t="str">
        <x:v>tecido plano poliéster para impressão</x:v>
      </x:c>
      <x:c r="AF29" s="67"/>
      <x:c r="AG29" s="12"/>
      <x:c r="AH29" s="12" t="str">
        <x:v>menção textual — revisão pendente</x:v>
      </x:c>
      <x:c r="AI29" s="12"/>
      <x:c r="AJ29" s="67"/>
      <x:c r="AK29" s="12"/>
      <x:c r="AL29" s="12" t="str">
        <x:v>poliéster</x:v>
      </x:c>
      <x:c r="AM29" s="12" t="str">
        <x:v>Não identificado</x:v>
      </x:c>
      <x:c r="AN29" s="12" t="str">
        <x:v>Não identificada</x:v>
      </x:c>
      <x:c r="AO29" s="12" t="str">
        <x:v>not_calculable</x:v>
      </x:c>
      <x:c r="AP29" s="12" t="str">
        <x:v>E — desconhecido / referência ainda não validada</x:v>
      </x:c>
      <x:c r="AQ29" s="68" t="n">
        <x:v>16</x:v>
      </x:c>
      <x:c r="AR29" s="68" t="n">
        <x:v>16</x:v>
      </x:c>
      <x:c r="AS29" s="68" t="n">
        <x:v>3</x:v>
      </x:c>
      <x:c r="AT29" s="68" t="n">
        <x:v>0</x:v>
      </x:c>
      <x:c r="AU29" s="68" t="n">
        <x:v>0</x:v>
      </x:c>
      <x:c r="AV29" s="68" t="n">
        <x:v>35</x:v>
      </x:c>
      <x:c r="AW29" s="12" t="str">
        <x:v>Sim</x:v>
      </x:c>
      <x:c r="AX29" s="12" t="str">
        <x:v>composição percentual ausente; gramatura ausente; sem Evidence validada; geografia de produção não especificada; extrações automáticas exigem revisão humana</x:v>
      </x:c>
      <x:c r="AY29" s="12" t="str">
        <x:v>not_applicable</x:v>
      </x:c>
    </x:row>
    <x:row r="30">
      <x:c r="A30" s="12" t="str">
        <x:v>OPS-TX-029</x:v>
      </x:c>
      <x:c r="B30" s="12" t="str">
        <x:v>CORDURA / INVISTA</x:v>
      </x:c>
      <x:c r="C30" s="12" t="str">
        <x:v>Lite Fabric</x:v>
      </x:c>
      <x:c r="D30" s="12" t="str">
        <x:v>tecido_plano</x:v>
      </x:c>
      <x:c r="E30" s="12" t="str">
        <x:v>ripstop/cestaria/dobby leve</x:v>
      </x:c>
      <x:c r="F30" s="12" t="str">
        <x:v>Página técnica oficial e acesso a especificações/sales sheet via Fabric Finder</x:v>
      </x:c>
      <x:c r="G30" s="12" t="str">
        <x:v>https://cordura.com/find-your-match</x:v>
      </x:c>
      <x:c r="H30" s="12" t="str">
        <x:v>Alta</x:v>
      </x:c>
      <x:c r="I30" s="12" t="str">
        <x:v>Internacional</x:v>
      </x:c>
      <x:c r="J30" s="12" t="str">
        <x:v>Solicitar amostra ao fabricante/distribuidor</x:v>
      </x:c>
      <x:c r="K30" s="12" t="str">
        <x:v>A solicitar</x:v>
      </x:c>
      <x:c r="L30" s="12" t="str">
        <x:v>Referência localizada</x:v>
      </x:c>
      <x:c r="M30" s="12" t="str">
        <x:v>Candidata</x:v>
      </x:c>
      <x:c r="N30" s="12" t="str">
        <x:v>Operations</x:v>
      </x:c>
      <x:c r="O30" s="12" t="n">
        <x:v>1</x:v>
      </x:c>
      <x:c r="P30" s="12"/>
      <x:c r="Q30" s="12"/>
      <x:c r="R30" s="12"/>
      <x:c r="S30" s="12" t="str">
        <x:v>Não revisada</x:v>
      </x:c>
      <x:c r="T30" s="12" t="str">
        <x:v>Confirmar ficha técnica/ensaio e código exato antes da aceitação.</x:v>
      </x:c>
      <x:c r="U30" s="12" t="str">
        <x:v>dimension-revision:structure.family:v0.3</x:v>
      </x:c>
      <x:c r="V30" s="12" t="str">
        <x:v>concept-revision:structure.family.woven_fabric:v0.3</x:v>
      </x:c>
      <x:c r="W30" s="12" t="str">
        <x:v>concept-revision:patterning.special_construction.ripstop:v0.3; concept-revision:patterning.mechanism.dobby:v0.3</x:v>
      </x:c>
      <x:c r="X30" s="12" t="str">
        <x:v>lead_only_not_asserted</x:v>
      </x:c>
      <x:c r="Y30" s="12" t="str">
        <x:v>textile-sample:ops-tx-029</x:v>
      </x:c>
      <x:c r="Z30" s="12"/>
      <x:c r="AA30" s="12"/>
      <x:c r="AB30" s="12"/>
      <x:c r="AC30" s="12"/>
      <x:c r="AD30" s="12" t="str">
        <x:v>wave-1-polartec-cordura</x:v>
      </x:c>
      <x:c r="AE30" s="12" t="str">
        <x:v>ripstop/cestaria/dobby leve</x:v>
      </x:c>
      <x:c r="AF30" s="67"/>
      <x:c r="AG30" s="12"/>
      <x:c r="AH30" s="12" t="str">
        <x:v>não informado</x:v>
      </x:c>
      <x:c r="AI30" s="12"/>
      <x:c r="AJ30" s="67"/>
      <x:c r="AK30" s="12"/>
      <x:c r="AL30" s="12"/>
      <x:c r="AM30" s="12" t="str">
        <x:v>Não identificado</x:v>
      </x:c>
      <x:c r="AN30" s="12" t="str">
        <x:v>Não identificada</x:v>
      </x:c>
      <x:c r="AO30" s="12" t="str">
        <x:v>not_calculable</x:v>
      </x:c>
      <x:c r="AP30" s="12" t="str">
        <x:v>E — desconhecido / referência ainda não validada</x:v>
      </x:c>
      <x:c r="AQ30" s="68" t="n">
        <x:v>16</x:v>
      </x:c>
      <x:c r="AR30" s="68" t="n">
        <x:v>20</x:v>
      </x:c>
      <x:c r="AS30" s="68" t="n">
        <x:v>0</x:v>
      </x:c>
      <x:c r="AT30" s="68" t="n">
        <x:v>0</x:v>
      </x:c>
      <x:c r="AU30" s="68" t="n">
        <x:v>0</x:v>
      </x:c>
      <x:c r="AV30" s="68" t="n">
        <x:v>36</x:v>
      </x:c>
      <x:c r="AW30" s="12" t="str">
        <x:v>Sim</x:v>
      </x:c>
      <x:c r="AX30" s="12" t="str">
        <x:v>composição percentual ausente; gramatura ausente; sem Evidence validada; geografia de produção não especificada; extrações automáticas exigem revisão humana</x:v>
      </x:c>
      <x:c r="AY30" s="12" t="str">
        <x:v>not_applicable</x:v>
      </x:c>
    </x:row>
    <x:row r="31">
      <x:c r="A31" s="12" t="str">
        <x:v>OPS-TX-030</x:v>
      </x:c>
      <x:c r="B31" s="12" t="str">
        <x:v>CORDURA / INVISTA</x:v>
      </x:c>
      <x:c r="C31" s="12" t="str">
        <x:v>Naturalle Fabric</x:v>
      </x:c>
      <x:c r="D31" s="12" t="str">
        <x:v>tecido_plano</x:v>
      </x:c>
      <x:c r="E31" s="12" t="str">
        <x:v>tafetá/ripstop/dupla face/dobby</x:v>
      </x:c>
      <x:c r="F31" s="12" t="str">
        <x:v>Página técnica oficial e acesso a especificações/sales sheet via Fabric Finder</x:v>
      </x:c>
      <x:c r="G31" s="12" t="str">
        <x:v>https://cordura.com/find-your-match</x:v>
      </x:c>
      <x:c r="H31" s="12" t="str">
        <x:v>Alta</x:v>
      </x:c>
      <x:c r="I31" s="12" t="str">
        <x:v>Internacional</x:v>
      </x:c>
      <x:c r="J31" s="12" t="str">
        <x:v>Solicitar amostra ao fabricante/distribuidor</x:v>
      </x:c>
      <x:c r="K31" s="12" t="str">
        <x:v>A solicitar</x:v>
      </x:c>
      <x:c r="L31" s="12" t="str">
        <x:v>Referência localizada</x:v>
      </x:c>
      <x:c r="M31" s="12" t="str">
        <x:v>Candidata</x:v>
      </x:c>
      <x:c r="N31" s="12" t="str">
        <x:v>Operations</x:v>
      </x:c>
      <x:c r="O31" s="12" t="n">
        <x:v>1</x:v>
      </x:c>
      <x:c r="P31" s="12"/>
      <x:c r="Q31" s="12"/>
      <x:c r="R31" s="12"/>
      <x:c r="S31" s="12" t="str">
        <x:v>Não revisada</x:v>
      </x:c>
      <x:c r="T31" s="12" t="str">
        <x:v>Confirmar ficha técnica/ensaio e código exato antes da aceitação.</x:v>
      </x:c>
      <x:c r="U31" s="12" t="str">
        <x:v>dimension-revision:structure.family:v0.3</x:v>
      </x:c>
      <x:c r="V31" s="12" t="str">
        <x:v>concept-revision:structure.family.woven_fabric:v0.3</x:v>
      </x:c>
      <x:c r="W31" s="12" t="str">
        <x:v>concept-revision:construction.primary.plain_weave:v0.3; concept-revision:patterning.special_construction.ripstop:v0.3; concept-revision:patterning.mechanism.dobby:v0.3; concept-revision:patterning.surface_multilayer.double_face:v0.3</x:v>
      </x:c>
      <x:c r="X31" s="12" t="str">
        <x:v>lead_only_not_asserted</x:v>
      </x:c>
      <x:c r="Y31" s="12" t="str">
        <x:v>textile-sample:ops-tx-030</x:v>
      </x:c>
      <x:c r="Z31" s="12"/>
      <x:c r="AA31" s="12"/>
      <x:c r="AB31" s="12"/>
      <x:c r="AC31" s="12"/>
      <x:c r="AD31" s="12" t="str">
        <x:v>wave-1-polartec-cordura</x:v>
      </x:c>
      <x:c r="AE31" s="12" t="str">
        <x:v>tafetá/ripstop/dupla face/dobby</x:v>
      </x:c>
      <x:c r="AF31" s="67"/>
      <x:c r="AG31" s="12"/>
      <x:c r="AH31" s="12" t="str">
        <x:v>não informado</x:v>
      </x:c>
      <x:c r="AI31" s="12"/>
      <x:c r="AJ31" s="67"/>
      <x:c r="AK31" s="12"/>
      <x:c r="AL31" s="12"/>
      <x:c r="AM31" s="12" t="str">
        <x:v>Não identificado</x:v>
      </x:c>
      <x:c r="AN31" s="12" t="str">
        <x:v>Não identificada</x:v>
      </x:c>
      <x:c r="AO31" s="12" t="str">
        <x:v>not_calculable</x:v>
      </x:c>
      <x:c r="AP31" s="12" t="str">
        <x:v>E — desconhecido / referência ainda não validada</x:v>
      </x:c>
      <x:c r="AQ31" s="68" t="n">
        <x:v>16</x:v>
      </x:c>
      <x:c r="AR31" s="68" t="n">
        <x:v>20</x:v>
      </x:c>
      <x:c r="AS31" s="68" t="n">
        <x:v>0</x:v>
      </x:c>
      <x:c r="AT31" s="68" t="n">
        <x:v>0</x:v>
      </x:c>
      <x:c r="AU31" s="68" t="n">
        <x:v>0</x:v>
      </x:c>
      <x:c r="AV31" s="68" t="n">
        <x:v>36</x:v>
      </x:c>
      <x:c r="AW31" s="12" t="str">
        <x:v>Sim</x:v>
      </x:c>
      <x:c r="AX31" s="12" t="str">
        <x:v>composição percentual ausente; gramatura ausente; sem Evidence validada; geografia de produção não especificada; extrações automáticas exigem revisão humana</x:v>
      </x:c>
      <x:c r="AY31" s="12" t="str">
        <x:v>not_applicable</x:v>
      </x:c>
    </x:row>
    <x:row r="32">
      <x:c r="A32" s="12" t="str">
        <x:v>OPS-TX-031</x:v>
      </x:c>
      <x:c r="B32" s="12" t="str">
        <x:v>CORDURA / INVISTA</x:v>
      </x:c>
      <x:c r="C32" s="12" t="str">
        <x:v>Naturalle Knit</x:v>
      </x:c>
      <x:c r="D32" s="12" t="str">
        <x:v>malha_trama</x:v>
      </x:c>
      <x:c r="E32" s="12" t="str">
        <x:v>malha técnica leve</x:v>
      </x:c>
      <x:c r="F32" s="12" t="str">
        <x:v>Página técnica oficial e acesso a especificações/sales sheet via Fabric Finder</x:v>
      </x:c>
      <x:c r="G32" s="12" t="str">
        <x:v>https://cordura.com/find-your-match</x:v>
      </x:c>
      <x:c r="H32" s="12" t="str">
        <x:v>Alta</x:v>
      </x:c>
      <x:c r="I32" s="12" t="str">
        <x:v>Internacional</x:v>
      </x:c>
      <x:c r="J32" s="12" t="str">
        <x:v>Solicitar amostra ao fabricante/distribuidor</x:v>
      </x:c>
      <x:c r="K32" s="12" t="str">
        <x:v>A solicitar</x:v>
      </x:c>
      <x:c r="L32" s="12" t="str">
        <x:v>Referência localizada</x:v>
      </x:c>
      <x:c r="M32" s="12" t="str">
        <x:v>Candidata</x:v>
      </x:c>
      <x:c r="N32" s="12" t="str">
        <x:v>Operations</x:v>
      </x:c>
      <x:c r="O32" s="12" t="n">
        <x:v>1</x:v>
      </x:c>
      <x:c r="P32" s="12"/>
      <x:c r="Q32" s="12"/>
      <x:c r="R32" s="12"/>
      <x:c r="S32" s="12" t="str">
        <x:v>Não revisada</x:v>
      </x:c>
      <x:c r="T32" s="12" t="str">
        <x:v>Confirmar ficha técnica/ensaio e código exato antes da aceitação.</x:v>
      </x:c>
      <x:c r="U32" s="12" t="str">
        <x:v>dimension-revision:structure.family:v0.3</x:v>
      </x:c>
      <x:c r="V32" s="12" t="str">
        <x:v>concept-revision:structure.family.weft_knit:v0.3</x:v>
      </x:c>
      <x:c r="W32" s="12"/>
      <x:c r="X32" s="12" t="str">
        <x:v>lead_only_not_asserted</x:v>
      </x:c>
      <x:c r="Y32" s="12" t="str">
        <x:v>textile-sample:ops-tx-031</x:v>
      </x:c>
      <x:c r="Z32" s="12"/>
      <x:c r="AA32" s="12"/>
      <x:c r="AB32" s="12"/>
      <x:c r="AC32" s="12"/>
      <x:c r="AD32" s="12" t="str">
        <x:v>wave-1-polartec-cordura</x:v>
      </x:c>
      <x:c r="AE32" s="12" t="str">
        <x:v>malha técnica leve</x:v>
      </x:c>
      <x:c r="AF32" s="67"/>
      <x:c r="AG32" s="12"/>
      <x:c r="AH32" s="12" t="str">
        <x:v>não informado</x:v>
      </x:c>
      <x:c r="AI32" s="12"/>
      <x:c r="AJ32" s="67"/>
      <x:c r="AK32" s="12"/>
      <x:c r="AL32" s="12"/>
      <x:c r="AM32" s="12" t="str">
        <x:v>Não identificado</x:v>
      </x:c>
      <x:c r="AN32" s="12" t="str">
        <x:v>Não identificada</x:v>
      </x:c>
      <x:c r="AO32" s="12" t="str">
        <x:v>not_calculable</x:v>
      </x:c>
      <x:c r="AP32" s="12" t="str">
        <x:v>E — desconhecido / referência ainda não validada</x:v>
      </x:c>
      <x:c r="AQ32" s="68" t="n">
        <x:v>16</x:v>
      </x:c>
      <x:c r="AR32" s="68" t="n">
        <x:v>16</x:v>
      </x:c>
      <x:c r="AS32" s="68" t="n">
        <x:v>0</x:v>
      </x:c>
      <x:c r="AT32" s="68" t="n">
        <x:v>0</x:v>
      </x:c>
      <x:c r="AU32" s="68" t="n">
        <x:v>0</x:v>
      </x:c>
      <x:c r="AV32" s="68" t="n">
        <x:v>32</x:v>
      </x:c>
      <x:c r="AW32" s="12" t="str">
        <x:v>Sim</x:v>
      </x:c>
      <x:c r="AX32" s="12" t="str">
        <x:v>composição percentual ausente; gramatura ausente; sem Evidence validada; geografia de produção não especificada; extrações automáticas exigem revisão humana</x:v>
      </x:c>
      <x:c r="AY32" s="12" t="str">
        <x:v>not_applicable</x:v>
      </x:c>
    </x:row>
    <x:row r="33">
      <x:c r="A33" s="12" t="str">
        <x:v>OPS-TX-032</x:v>
      </x:c>
      <x:c r="B33" s="12" t="str">
        <x:v>CORDURA / INVISTA</x:v>
      </x:c>
      <x:c r="C33" s="12" t="str">
        <x:v>NYCO Fabric</x:v>
      </x:c>
      <x:c r="D33" s="12" t="str">
        <x:v>tecido_plano</x:v>
      </x:c>
      <x:c r="E33" s="12" t="str">
        <x:v>tecido plano nylon/algodão</x:v>
      </x:c>
      <x:c r="F33" s="12" t="str">
        <x:v>Página técnica oficial e acesso a especificações/sales sheet via Fabric Finder</x:v>
      </x:c>
      <x:c r="G33" s="12" t="str">
        <x:v>https://cordura.com/find-your-match</x:v>
      </x:c>
      <x:c r="H33" s="12" t="str">
        <x:v>Alta</x:v>
      </x:c>
      <x:c r="I33" s="12" t="str">
        <x:v>Internacional</x:v>
      </x:c>
      <x:c r="J33" s="12" t="str">
        <x:v>Solicitar amostra ao fabricante/distribuidor</x:v>
      </x:c>
      <x:c r="K33" s="12" t="str">
        <x:v>A solicitar</x:v>
      </x:c>
      <x:c r="L33" s="12" t="str">
        <x:v>Referência localizada</x:v>
      </x:c>
      <x:c r="M33" s="12" t="str">
        <x:v>Candidata</x:v>
      </x:c>
      <x:c r="N33" s="12" t="str">
        <x:v>Operations</x:v>
      </x:c>
      <x:c r="O33" s="12" t="n">
        <x:v>1</x:v>
      </x:c>
      <x:c r="P33" s="12"/>
      <x:c r="Q33" s="12"/>
      <x:c r="R33" s="12"/>
      <x:c r="S33" s="12" t="str">
        <x:v>Não revisada</x:v>
      </x:c>
      <x:c r="T33" s="12" t="str">
        <x:v>Confirmar ficha técnica/ensaio e código exato antes da aceitação.</x:v>
      </x:c>
      <x:c r="U33" s="12" t="str">
        <x:v>dimension-revision:structure.family:v0.3</x:v>
      </x:c>
      <x:c r="V33" s="12" t="str">
        <x:v>concept-revision:structure.family.woven_fabric:v0.3</x:v>
      </x:c>
      <x:c r="W33" s="12"/>
      <x:c r="X33" s="12" t="str">
        <x:v>lead_only_not_asserted</x:v>
      </x:c>
      <x:c r="Y33" s="12" t="str">
        <x:v>textile-sample:ops-tx-032</x:v>
      </x:c>
      <x:c r="Z33" s="12"/>
      <x:c r="AA33" s="12"/>
      <x:c r="AB33" s="12"/>
      <x:c r="AC33" s="12"/>
      <x:c r="AD33" s="12" t="str">
        <x:v>wave-1-polartec-cordura</x:v>
      </x:c>
      <x:c r="AE33" s="12" t="str">
        <x:v>tecido plano nylon/algodão</x:v>
      </x:c>
      <x:c r="AF33" s="67"/>
      <x:c r="AG33" s="12"/>
      <x:c r="AH33" s="12" t="str">
        <x:v>menção textual — revisão pendente</x:v>
      </x:c>
      <x:c r="AI33" s="12"/>
      <x:c r="AJ33" s="67"/>
      <x:c r="AK33" s="12"/>
      <x:c r="AL33" s="12" t="str">
        <x:v>algodão, poliamida</x:v>
      </x:c>
      <x:c r="AM33" s="12" t="str">
        <x:v>Não identificado</x:v>
      </x:c>
      <x:c r="AN33" s="12" t="str">
        <x:v>Não identificada</x:v>
      </x:c>
      <x:c r="AO33" s="12" t="str">
        <x:v>not_calculable</x:v>
      </x:c>
      <x:c r="AP33" s="12" t="str">
        <x:v>E — desconhecido / referência ainda não validada</x:v>
      </x:c>
      <x:c r="AQ33" s="68" t="n">
        <x:v>16</x:v>
      </x:c>
      <x:c r="AR33" s="68" t="n">
        <x:v>16</x:v>
      </x:c>
      <x:c r="AS33" s="68" t="n">
        <x:v>3</x:v>
      </x:c>
      <x:c r="AT33" s="68" t="n">
        <x:v>0</x:v>
      </x:c>
      <x:c r="AU33" s="68" t="n">
        <x:v>0</x:v>
      </x:c>
      <x:c r="AV33" s="68" t="n">
        <x:v>35</x:v>
      </x:c>
      <x:c r="AW33" s="12" t="str">
        <x:v>Sim</x:v>
      </x:c>
      <x:c r="AX33" s="12" t="str">
        <x:v>composição percentual ausente; gramatura ausente; sem Evidence validada; geografia de produção não especificada; extrações automáticas exigem revisão humana</x:v>
      </x:c>
      <x:c r="AY33" s="12" t="str">
        <x:v>not_applicable</x:v>
      </x:c>
    </x:row>
    <x:row r="34">
      <x:c r="A34" s="12" t="str">
        <x:v>OPS-TX-033</x:v>
      </x:c>
      <x:c r="B34" s="12" t="str">
        <x:v>CORDURA / INVISTA</x:v>
      </x:c>
      <x:c r="C34" s="12" t="str">
        <x:v>NYCO Knit</x:v>
      </x:c>
      <x:c r="D34" s="12" t="str">
        <x:v>malha_trama</x:v>
      </x:c>
      <x:c r="E34" s="12" t="str">
        <x:v>malha nylon/algodão</x:v>
      </x:c>
      <x:c r="F34" s="12" t="str">
        <x:v>Página técnica oficial e acesso a especificações/sales sheet via Fabric Finder</x:v>
      </x:c>
      <x:c r="G34" s="12" t="str">
        <x:v>https://cordura.com/find-your-match</x:v>
      </x:c>
      <x:c r="H34" s="12" t="str">
        <x:v>Alta</x:v>
      </x:c>
      <x:c r="I34" s="12" t="str">
        <x:v>Internacional</x:v>
      </x:c>
      <x:c r="J34" s="12" t="str">
        <x:v>Solicitar amostra ao fabricante/distribuidor</x:v>
      </x:c>
      <x:c r="K34" s="12" t="str">
        <x:v>A solicitar</x:v>
      </x:c>
      <x:c r="L34" s="12" t="str">
        <x:v>Referência localizada</x:v>
      </x:c>
      <x:c r="M34" s="12" t="str">
        <x:v>Candidata</x:v>
      </x:c>
      <x:c r="N34" s="12" t="str">
        <x:v>Operations</x:v>
      </x:c>
      <x:c r="O34" s="12" t="n">
        <x:v>1</x:v>
      </x:c>
      <x:c r="P34" s="12"/>
      <x:c r="Q34" s="12"/>
      <x:c r="R34" s="12"/>
      <x:c r="S34" s="12" t="str">
        <x:v>Não revisada</x:v>
      </x:c>
      <x:c r="T34" s="12" t="str">
        <x:v>Confirmar ficha técnica/ensaio e código exato antes da aceitação.</x:v>
      </x:c>
      <x:c r="U34" s="12" t="str">
        <x:v>dimension-revision:structure.family:v0.3</x:v>
      </x:c>
      <x:c r="V34" s="12" t="str">
        <x:v>concept-revision:structure.family.weft_knit:v0.3</x:v>
      </x:c>
      <x:c r="W34" s="12"/>
      <x:c r="X34" s="12" t="str">
        <x:v>lead_only_not_asserted</x:v>
      </x:c>
      <x:c r="Y34" s="12" t="str">
        <x:v>textile-sample:ops-tx-033</x:v>
      </x:c>
      <x:c r="Z34" s="12"/>
      <x:c r="AA34" s="12"/>
      <x:c r="AB34" s="12"/>
      <x:c r="AC34" s="12"/>
      <x:c r="AD34" s="12" t="str">
        <x:v>wave-1-polartec-cordura</x:v>
      </x:c>
      <x:c r="AE34" s="12" t="str">
        <x:v>malha nylon/algodão</x:v>
      </x:c>
      <x:c r="AF34" s="67"/>
      <x:c r="AG34" s="12"/>
      <x:c r="AH34" s="12" t="str">
        <x:v>menção textual — revisão pendente</x:v>
      </x:c>
      <x:c r="AI34" s="12"/>
      <x:c r="AJ34" s="67"/>
      <x:c r="AK34" s="12"/>
      <x:c r="AL34" s="12" t="str">
        <x:v>algodão, poliamida</x:v>
      </x:c>
      <x:c r="AM34" s="12" t="str">
        <x:v>Não identificado</x:v>
      </x:c>
      <x:c r="AN34" s="12" t="str">
        <x:v>Não identificada</x:v>
      </x:c>
      <x:c r="AO34" s="12" t="str">
        <x:v>not_calculable</x:v>
      </x:c>
      <x:c r="AP34" s="12" t="str">
        <x:v>E — desconhecido / referência ainda não validada</x:v>
      </x:c>
      <x:c r="AQ34" s="68" t="n">
        <x:v>16</x:v>
      </x:c>
      <x:c r="AR34" s="68" t="n">
        <x:v>16</x:v>
      </x:c>
      <x:c r="AS34" s="68" t="n">
        <x:v>3</x:v>
      </x:c>
      <x:c r="AT34" s="68" t="n">
        <x:v>0</x:v>
      </x:c>
      <x:c r="AU34" s="68" t="n">
        <x:v>0</x:v>
      </x:c>
      <x:c r="AV34" s="68" t="n">
        <x:v>35</x:v>
      </x:c>
      <x:c r="AW34" s="12" t="str">
        <x:v>Sim</x:v>
      </x:c>
      <x:c r="AX34" s="12" t="str">
        <x:v>composição percentual ausente; gramatura ausente; sem Evidence validada; geografia de produção não especificada; extrações automáticas exigem revisão humana</x:v>
      </x:c>
      <x:c r="AY34" s="12" t="str">
        <x:v>not_applicable</x:v>
      </x:c>
    </x:row>
    <x:row r="35">
      <x:c r="A35" s="12" t="str">
        <x:v>OPS-TX-034</x:v>
      </x:c>
      <x:c r="B35" s="12" t="str">
        <x:v>CORDURA / INVISTA</x:v>
      </x:c>
      <x:c r="C35" s="12" t="str">
        <x:v>re/cor RN66</x:v>
      </x:c>
      <x:c r="D35" s="12" t="str">
        <x:v>tecido_plano</x:v>
      </x:c>
      <x:c r="E35" s="12" t="str">
        <x:v>tecido reciclado nylon 6,6</x:v>
      </x:c>
      <x:c r="F35" s="12" t="str">
        <x:v>Página técnica oficial e acesso a especificações/sales sheet via Fabric Finder</x:v>
      </x:c>
      <x:c r="G35" s="12" t="str">
        <x:v>https://cordura.com/find-your-match</x:v>
      </x:c>
      <x:c r="H35" s="12" t="str">
        <x:v>Alta</x:v>
      </x:c>
      <x:c r="I35" s="12" t="str">
        <x:v>Internacional</x:v>
      </x:c>
      <x:c r="J35" s="12" t="str">
        <x:v>Solicitar amostra ao fabricante/distribuidor</x:v>
      </x:c>
      <x:c r="K35" s="12" t="str">
        <x:v>A solicitar</x:v>
      </x:c>
      <x:c r="L35" s="12" t="str">
        <x:v>Referência localizada</x:v>
      </x:c>
      <x:c r="M35" s="12" t="str">
        <x:v>Candidata</x:v>
      </x:c>
      <x:c r="N35" s="12" t="str">
        <x:v>Operations</x:v>
      </x:c>
      <x:c r="O35" s="12" t="n">
        <x:v>1</x:v>
      </x:c>
      <x:c r="P35" s="12"/>
      <x:c r="Q35" s="12"/>
      <x:c r="R35" s="12"/>
      <x:c r="S35" s="12" t="str">
        <x:v>Não revisada</x:v>
      </x:c>
      <x:c r="T35" s="12" t="str">
        <x:v>Confirmar ficha técnica/ensaio e código exato antes da aceitação.</x:v>
      </x:c>
      <x:c r="U35" s="12" t="str">
        <x:v>dimension-revision:structure.family:v0.3</x:v>
      </x:c>
      <x:c r="V35" s="12" t="str">
        <x:v>concept-revision:structure.family.woven_fabric:v0.3</x:v>
      </x:c>
      <x:c r="W35" s="12"/>
      <x:c r="X35" s="12" t="str">
        <x:v>lead_only_not_asserted</x:v>
      </x:c>
      <x:c r="Y35" s="12" t="str">
        <x:v>textile-sample:ops-tx-034</x:v>
      </x:c>
      <x:c r="Z35" s="12"/>
      <x:c r="AA35" s="12"/>
      <x:c r="AB35" s="12"/>
      <x:c r="AC35" s="12"/>
      <x:c r="AD35" s="12" t="str">
        <x:v>wave-1-polartec-cordura</x:v>
      </x:c>
      <x:c r="AE35" s="12" t="str">
        <x:v>tecido reciclado nylon 6,6</x:v>
      </x:c>
      <x:c r="AF35" s="67"/>
      <x:c r="AG35" s="12"/>
      <x:c r="AH35" s="12" t="str">
        <x:v>menção textual — revisão pendente</x:v>
      </x:c>
      <x:c r="AI35" s="12"/>
      <x:c r="AJ35" s="67"/>
      <x:c r="AK35" s="12"/>
      <x:c r="AL35" s="12" t="str">
        <x:v>poliamida</x:v>
      </x:c>
      <x:c r="AM35" s="12" t="str">
        <x:v>Sim</x:v>
      </x:c>
      <x:c r="AN35" s="12" t="str">
        <x:v>Não identificada</x:v>
      </x:c>
      <x:c r="AO35" s="12" t="str">
        <x:v>not_calculable</x:v>
      </x:c>
      <x:c r="AP35" s="12" t="str">
        <x:v>E — desconhecido / referência ainda não validada</x:v>
      </x:c>
      <x:c r="AQ35" s="68" t="n">
        <x:v>16</x:v>
      </x:c>
      <x:c r="AR35" s="68" t="n">
        <x:v>16</x:v>
      </x:c>
      <x:c r="AS35" s="68" t="n">
        <x:v>6</x:v>
      </x:c>
      <x:c r="AT35" s="68" t="n">
        <x:v>0</x:v>
      </x:c>
      <x:c r="AU35" s="68" t="n">
        <x:v>0</x:v>
      </x:c>
      <x:c r="AV35" s="68" t="n">
        <x:v>38</x:v>
      </x:c>
      <x:c r="AW35" s="12" t="str">
        <x:v>Sim</x:v>
      </x:c>
      <x:c r="AX35" s="12" t="str">
        <x:v>composição percentual ausente; gramatura ausente; sem Evidence validada; geografia de produção não especificada; extrações automáticas exigem revisão humana</x:v>
      </x:c>
      <x:c r="AY35" s="12" t="str">
        <x:v>not_applicable</x:v>
      </x:c>
    </x:row>
    <x:row r="36">
      <x:c r="A36" s="12" t="str">
        <x:v>OPS-TX-035</x:v>
      </x:c>
      <x:c r="B36" s="12" t="str">
        <x:v>CORDURA / INVISTA</x:v>
      </x:c>
      <x:c r="C36" s="12" t="str">
        <x:v>UltraLite Fabric</x:v>
      </x:c>
      <x:c r="D36" s="12" t="str">
        <x:v>tecido_plano</x:v>
      </x:c>
      <x:c r="E36" s="12" t="str">
        <x:v>tecido plano ultraleve</x:v>
      </x:c>
      <x:c r="F36" s="12" t="str">
        <x:v>Página técnica oficial e acesso a especificações/sales sheet via Fabric Finder</x:v>
      </x:c>
      <x:c r="G36" s="12" t="str">
        <x:v>https://cordura.com/find-your-match</x:v>
      </x:c>
      <x:c r="H36" s="12" t="str">
        <x:v>Alta</x:v>
      </x:c>
      <x:c r="I36" s="12" t="str">
        <x:v>Internacional</x:v>
      </x:c>
      <x:c r="J36" s="12" t="str">
        <x:v>Solicitar amostra ao fabricante/distribuidor</x:v>
      </x:c>
      <x:c r="K36" s="12" t="str">
        <x:v>A solicitar</x:v>
      </x:c>
      <x:c r="L36" s="12" t="str">
        <x:v>Referência localizada</x:v>
      </x:c>
      <x:c r="M36" s="12" t="str">
        <x:v>Candidata</x:v>
      </x:c>
      <x:c r="N36" s="12" t="str">
        <x:v>Operations</x:v>
      </x:c>
      <x:c r="O36" s="12" t="n">
        <x:v>1</x:v>
      </x:c>
      <x:c r="P36" s="12"/>
      <x:c r="Q36" s="12"/>
      <x:c r="R36" s="12"/>
      <x:c r="S36" s="12" t="str">
        <x:v>Não revisada</x:v>
      </x:c>
      <x:c r="T36" s="12" t="str">
        <x:v>Confirmar ficha técnica/ensaio e código exato antes da aceitação.</x:v>
      </x:c>
      <x:c r="U36" s="12" t="str">
        <x:v>dimension-revision:structure.family:v0.3</x:v>
      </x:c>
      <x:c r="V36" s="12" t="str">
        <x:v>concept-revision:structure.family.woven_fabric:v0.3</x:v>
      </x:c>
      <x:c r="W36" s="12"/>
      <x:c r="X36" s="12" t="str">
        <x:v>lead_only_not_asserted</x:v>
      </x:c>
      <x:c r="Y36" s="12" t="str">
        <x:v>textile-sample:ops-tx-035</x:v>
      </x:c>
      <x:c r="Z36" s="12"/>
      <x:c r="AA36" s="12"/>
      <x:c r="AB36" s="12"/>
      <x:c r="AC36" s="12"/>
      <x:c r="AD36" s="12" t="str">
        <x:v>wave-1-polartec-cordura</x:v>
      </x:c>
      <x:c r="AE36" s="12" t="str">
        <x:v>tecido plano ultraleve</x:v>
      </x:c>
      <x:c r="AF36" s="67"/>
      <x:c r="AG36" s="12"/>
      <x:c r="AH36" s="12" t="str">
        <x:v>não informado</x:v>
      </x:c>
      <x:c r="AI36" s="12"/>
      <x:c r="AJ36" s="67"/>
      <x:c r="AK36" s="12"/>
      <x:c r="AL36" s="12"/>
      <x:c r="AM36" s="12" t="str">
        <x:v>Não identificado</x:v>
      </x:c>
      <x:c r="AN36" s="12" t="str">
        <x:v>Não identificada</x:v>
      </x:c>
      <x:c r="AO36" s="12" t="str">
        <x:v>not_calculable</x:v>
      </x:c>
      <x:c r="AP36" s="12" t="str">
        <x:v>E — desconhecido / referência ainda não validada</x:v>
      </x:c>
      <x:c r="AQ36" s="68" t="n">
        <x:v>16</x:v>
      </x:c>
      <x:c r="AR36" s="68" t="n">
        <x:v>16</x:v>
      </x:c>
      <x:c r="AS36" s="68" t="n">
        <x:v>0</x:v>
      </x:c>
      <x:c r="AT36" s="68" t="n">
        <x:v>0</x:v>
      </x:c>
      <x:c r="AU36" s="68" t="n">
        <x:v>0</x:v>
      </x:c>
      <x:c r="AV36" s="68" t="n">
        <x:v>32</x:v>
      </x:c>
      <x:c r="AW36" s="12" t="str">
        <x:v>Sim</x:v>
      </x:c>
      <x:c r="AX36" s="12" t="str">
        <x:v>composição percentual ausente; gramatura ausente; sem Evidence validada; geografia de produção não especificada; extrações automáticas exigem revisão humana</x:v>
      </x:c>
      <x:c r="AY36" s="12" t="str">
        <x:v>not_applicable</x:v>
      </x:c>
    </x:row>
    <x:row r="37">
      <x:c r="A37" s="12" t="str">
        <x:v>OPS-TX-036</x:v>
      </x:c>
      <x:c r="B37" s="12" t="str">
        <x:v>Freudenberg Performance Materials</x:v>
      </x:c>
      <x:c r="C37" s="12" t="str">
        <x:v>Colback</x:v>
      </x:c>
      <x:c r="D37" s="12" t="str">
        <x:v>nao_tecido</x:v>
      </x:c>
      <x:c r="E37" s="12" t="str">
        <x:v>spunbond polimérico</x:v>
      </x:c>
      <x:c r="F37" s="12" t="str">
        <x:v>Página técnica oficial; detalhamento adicional sob consulta</x:v>
      </x:c>
      <x:c r="G37" s="12" t="str">
        <x:v>https://www.freudenberg-pm.com/en/brands/colback</x:v>
      </x:c>
      <x:c r="H37" s="12" t="str">
        <x:v>Média</x:v>
      </x:c>
      <x:c r="I37" s="12" t="str">
        <x:v>Internacional</x:v>
      </x:c>
      <x:c r="J37" s="12" t="str">
        <x:v>Solicitar amostra ao fabricante/distribuidor</x:v>
      </x:c>
      <x:c r="K37" s="12" t="str">
        <x:v>A solicitar</x:v>
      </x:c>
      <x:c r="L37" s="12" t="str">
        <x:v>Referência localizada</x:v>
      </x:c>
      <x:c r="M37" s="12" t="str">
        <x:v>Candidata</x:v>
      </x:c>
      <x:c r="N37" s="12" t="str">
        <x:v>Operations</x:v>
      </x:c>
      <x:c r="O37" s="12" t="n">
        <x:v>1</x:v>
      </x:c>
      <x:c r="P37" s="12"/>
      <x:c r="Q37" s="12"/>
      <x:c r="R37" s="12"/>
      <x:c r="S37" s="12" t="str">
        <x:v>Não revisada</x:v>
      </x:c>
      <x:c r="T37" s="12" t="str">
        <x:v>Confirmar ficha técnica/ensaio e código exato antes da aceitação.</x:v>
      </x:c>
      <x:c r="U37" s="12" t="str">
        <x:v>dimension-revision:structure.family:v0.3</x:v>
      </x:c>
      <x:c r="V37" s="12" t="str">
        <x:v>concept-revision:structure.family.nonwoven:v0.3</x:v>
      </x:c>
      <x:c r="W37" s="12" t="str">
        <x:v>concept-revision:nonwoven.extrusion.spunbond:v0.3</x:v>
      </x:c>
      <x:c r="X37" s="12" t="str">
        <x:v>lead_only_not_asserted</x:v>
      </x:c>
      <x:c r="Y37" s="12" t="str">
        <x:v>textile-sample:ops-tx-036</x:v>
      </x:c>
      <x:c r="Z37" s="12"/>
      <x:c r="AA37" s="12"/>
      <x:c r="AB37" s="12"/>
      <x:c r="AC37" s="12"/>
      <x:c r="AD37" s="12" t="str">
        <x:v>wave-1-ahlstrom-freudenberg</x:v>
      </x:c>
      <x:c r="AE37" s="12" t="str">
        <x:v>spunbond polimérico</x:v>
      </x:c>
      <x:c r="AF37" s="67"/>
      <x:c r="AG37" s="12"/>
      <x:c r="AH37" s="12" t="str">
        <x:v>não informado</x:v>
      </x:c>
      <x:c r="AI37" s="12"/>
      <x:c r="AJ37" s="67"/>
      <x:c r="AK37" s="12"/>
      <x:c r="AL37" s="12"/>
      <x:c r="AM37" s="12" t="str">
        <x:v>Não identificado</x:v>
      </x:c>
      <x:c r="AN37" s="12" t="str">
        <x:v>Não identificada</x:v>
      </x:c>
      <x:c r="AO37" s="12" t="str">
        <x:v>not_calculable</x:v>
      </x:c>
      <x:c r="AP37" s="12" t="str">
        <x:v>E — desconhecido / referência ainda não validada</x:v>
      </x:c>
      <x:c r="AQ37" s="68" t="n">
        <x:v>16</x:v>
      </x:c>
      <x:c r="AR37" s="68" t="n">
        <x:v>20</x:v>
      </x:c>
      <x:c r="AS37" s="68" t="n">
        <x:v>0</x:v>
      </x:c>
      <x:c r="AT37" s="68" t="n">
        <x:v>0</x:v>
      </x:c>
      <x:c r="AU37" s="68" t="n">
        <x:v>0</x:v>
      </x:c>
      <x:c r="AV37" s="68" t="n">
        <x:v>36</x:v>
      </x:c>
      <x:c r="AW37" s="12" t="str">
        <x:v>Sim</x:v>
      </x:c>
      <x:c r="AX37" s="12" t="str">
        <x:v>composição percentual ausente; gramatura ausente; sem Evidence validada; geografia de produção não especificada; extrações automáticas exigem revisão humana</x:v>
      </x:c>
      <x:c r="AY37" s="12" t="str">
        <x:v>not_applicable</x:v>
      </x:c>
    </x:row>
    <x:row r="38">
      <x:c r="A38" s="12" t="str">
        <x:v>OPS-TX-037</x:v>
      </x:c>
      <x:c r="B38" s="12" t="str">
        <x:v>Freudenberg Performance Materials</x:v>
      </x:c>
      <x:c r="C38" s="12" t="str">
        <x:v>Evolon</x:v>
      </x:c>
      <x:c r="D38" s="12" t="str">
        <x:v>nao_tecido</x:v>
      </x:c>
      <x:c r="E38" s="12" t="str">
        <x:v>microfilamento hidroentrelaçado</x:v>
      </x:c>
      <x:c r="F38" s="12" t="str">
        <x:v>Página técnica oficial; detalhamento adicional sob consulta</x:v>
      </x:c>
      <x:c r="G38" s="12" t="str">
        <x:v>https://www.freudenberg-pm.com/en/brands/evolon</x:v>
      </x:c>
      <x:c r="H38" s="12" t="str">
        <x:v>Média</x:v>
      </x:c>
      <x:c r="I38" s="12" t="str">
        <x:v>Internacional</x:v>
      </x:c>
      <x:c r="J38" s="12" t="str">
        <x:v>Solicitar amostra ao fabricante/distribuidor</x:v>
      </x:c>
      <x:c r="K38" s="12" t="str">
        <x:v>A solicitar</x:v>
      </x:c>
      <x:c r="L38" s="12" t="str">
        <x:v>Referência localizada</x:v>
      </x:c>
      <x:c r="M38" s="12" t="str">
        <x:v>Candidata</x:v>
      </x:c>
      <x:c r="N38" s="12" t="str">
        <x:v>Operations</x:v>
      </x:c>
      <x:c r="O38" s="12" t="n">
        <x:v>1</x:v>
      </x:c>
      <x:c r="P38" s="12"/>
      <x:c r="Q38" s="12"/>
      <x:c r="R38" s="12"/>
      <x:c r="S38" s="12" t="str">
        <x:v>Não revisada</x:v>
      </x:c>
      <x:c r="T38" s="12" t="str">
        <x:v>Confirmar ficha técnica/ensaio e código exato antes da aceitação.</x:v>
      </x:c>
      <x:c r="U38" s="12" t="str">
        <x:v>dimension-revision:structure.family:v0.3</x:v>
      </x:c>
      <x:c r="V38" s="12" t="str">
        <x:v>concept-revision:structure.family.nonwoven:v0.3</x:v>
      </x:c>
      <x:c r="W38" s="12" t="str">
        <x:v>concept-revision:nonwoven.consolidation.hydroentangled:v0.3</x:v>
      </x:c>
      <x:c r="X38" s="12" t="str">
        <x:v>lead_only_not_asserted</x:v>
      </x:c>
      <x:c r="Y38" s="12" t="str">
        <x:v>textile-sample:ops-tx-037</x:v>
      </x:c>
      <x:c r="Z38" s="12"/>
      <x:c r="AA38" s="12"/>
      <x:c r="AB38" s="12"/>
      <x:c r="AC38" s="12"/>
      <x:c r="AD38" s="12" t="str">
        <x:v>wave-1-ahlstrom-freudenberg</x:v>
      </x:c>
      <x:c r="AE38" s="12" t="str">
        <x:v>microfilamento hidroentrelaçado</x:v>
      </x:c>
      <x:c r="AF38" s="67"/>
      <x:c r="AG38" s="12"/>
      <x:c r="AH38" s="12" t="str">
        <x:v>não informado</x:v>
      </x:c>
      <x:c r="AI38" s="12"/>
      <x:c r="AJ38" s="67"/>
      <x:c r="AK38" s="12"/>
      <x:c r="AL38" s="12"/>
      <x:c r="AM38" s="12" t="str">
        <x:v>Não identificado</x:v>
      </x:c>
      <x:c r="AN38" s="12" t="str">
        <x:v>Não identificada</x:v>
      </x:c>
      <x:c r="AO38" s="12" t="str">
        <x:v>not_calculable</x:v>
      </x:c>
      <x:c r="AP38" s="12" t="str">
        <x:v>E — desconhecido / referência ainda não validada</x:v>
      </x:c>
      <x:c r="AQ38" s="68" t="n">
        <x:v>16</x:v>
      </x:c>
      <x:c r="AR38" s="68" t="n">
        <x:v>20</x:v>
      </x:c>
      <x:c r="AS38" s="68" t="n">
        <x:v>0</x:v>
      </x:c>
      <x:c r="AT38" s="68" t="n">
        <x:v>0</x:v>
      </x:c>
      <x:c r="AU38" s="68" t="n">
        <x:v>0</x:v>
      </x:c>
      <x:c r="AV38" s="68" t="n">
        <x:v>36</x:v>
      </x:c>
      <x:c r="AW38" s="12" t="str">
        <x:v>Sim</x:v>
      </x:c>
      <x:c r="AX38" s="12" t="str">
        <x:v>composição percentual ausente; gramatura ausente; sem Evidence validada; geografia de produção não especificada; extrações automáticas exigem revisão humana</x:v>
      </x:c>
      <x:c r="AY38" s="12" t="str">
        <x:v>not_applicable</x:v>
      </x:c>
    </x:row>
    <x:row r="39">
      <x:c r="A39" s="12" t="str">
        <x:v>OPS-TX-038</x:v>
      </x:c>
      <x:c r="B39" s="12" t="str">
        <x:v>Freudenberg Performance Materials</x:v>
      </x:c>
      <x:c r="C39" s="12" t="str">
        <x:v>Filc</x:v>
      </x:c>
      <x:c r="D39" s="12" t="str">
        <x:v>nao_tecido</x:v>
      </x:c>
      <x:c r="E39" s="12" t="str">
        <x:v>agulhado técnico</x:v>
      </x:c>
      <x:c r="F39" s="12" t="str">
        <x:v>Página técnica oficial; detalhamento adicional sob consulta</x:v>
      </x:c>
      <x:c r="G39" s="12" t="str">
        <x:v>https://www.freudenberg-pm.com/en/brands/filc</x:v>
      </x:c>
      <x:c r="H39" s="12" t="str">
        <x:v>Média</x:v>
      </x:c>
      <x:c r="I39" s="12" t="str">
        <x:v>Internacional</x:v>
      </x:c>
      <x:c r="J39" s="12" t="str">
        <x:v>Solicitar amostra ao fabricante/distribuidor</x:v>
      </x:c>
      <x:c r="K39" s="12" t="str">
        <x:v>A solicitar</x:v>
      </x:c>
      <x:c r="L39" s="12" t="str">
        <x:v>Referência localizada</x:v>
      </x:c>
      <x:c r="M39" s="12" t="str">
        <x:v>Candidata</x:v>
      </x:c>
      <x:c r="N39" s="12" t="str">
        <x:v>Operations</x:v>
      </x:c>
      <x:c r="O39" s="12" t="n">
        <x:v>1</x:v>
      </x:c>
      <x:c r="P39" s="12"/>
      <x:c r="Q39" s="12"/>
      <x:c r="R39" s="12"/>
      <x:c r="S39" s="12" t="str">
        <x:v>Não revisada</x:v>
      </x:c>
      <x:c r="T39" s="12" t="str">
        <x:v>Confirmar ficha técnica/ensaio e código exato antes da aceitação.</x:v>
      </x:c>
      <x:c r="U39" s="12" t="str">
        <x:v>dimension-revision:structure.family:v0.3</x:v>
      </x:c>
      <x:c r="V39" s="12" t="str">
        <x:v>concept-revision:structure.family.nonwoven:v0.3</x:v>
      </x:c>
      <x:c r="W39" s="12" t="str">
        <x:v>concept-revision:nonwoven.consolidation.needle_punched:v0.3</x:v>
      </x:c>
      <x:c r="X39" s="12" t="str">
        <x:v>lead_only_not_asserted</x:v>
      </x:c>
      <x:c r="Y39" s="12" t="str">
        <x:v>textile-sample:ops-tx-038</x:v>
      </x:c>
      <x:c r="Z39" s="12"/>
      <x:c r="AA39" s="12"/>
      <x:c r="AB39" s="12"/>
      <x:c r="AC39" s="12"/>
      <x:c r="AD39" s="12" t="str">
        <x:v>wave-1-ahlstrom-freudenberg</x:v>
      </x:c>
      <x:c r="AE39" s="12" t="str">
        <x:v>agulhado técnico</x:v>
      </x:c>
      <x:c r="AF39" s="67"/>
      <x:c r="AG39" s="12"/>
      <x:c r="AH39" s="12" t="str">
        <x:v>não informado</x:v>
      </x:c>
      <x:c r="AI39" s="12"/>
      <x:c r="AJ39" s="67"/>
      <x:c r="AK39" s="12"/>
      <x:c r="AL39" s="12"/>
      <x:c r="AM39" s="12" t="str">
        <x:v>Não identificado</x:v>
      </x:c>
      <x:c r="AN39" s="12" t="str">
        <x:v>Não identificada</x:v>
      </x:c>
      <x:c r="AO39" s="12" t="str">
        <x:v>not_calculable</x:v>
      </x:c>
      <x:c r="AP39" s="12" t="str">
        <x:v>E — desconhecido / referência ainda não validada</x:v>
      </x:c>
      <x:c r="AQ39" s="68" t="n">
        <x:v>16</x:v>
      </x:c>
      <x:c r="AR39" s="68" t="n">
        <x:v>20</x:v>
      </x:c>
      <x:c r="AS39" s="68" t="n">
        <x:v>0</x:v>
      </x:c>
      <x:c r="AT39" s="68" t="n">
        <x:v>0</x:v>
      </x:c>
      <x:c r="AU39" s="68" t="n">
        <x:v>0</x:v>
      </x:c>
      <x:c r="AV39" s="68" t="n">
        <x:v>36</x:v>
      </x:c>
      <x:c r="AW39" s="12" t="str">
        <x:v>Sim</x:v>
      </x:c>
      <x:c r="AX39" s="12" t="str">
        <x:v>composição percentual ausente; gramatura ausente; sem Evidence validada; geografia de produção não especificada; extrações automáticas exigem revisão humana</x:v>
      </x:c>
      <x:c r="AY39" s="12" t="str">
        <x:v>not_applicable</x:v>
      </x:c>
    </x:row>
    <x:row r="40">
      <x:c r="A40" s="12" t="str">
        <x:v>OPS-TX-039</x:v>
      </x:c>
      <x:c r="B40" s="12" t="str">
        <x:v>Freudenberg Performance Materials</x:v>
      </x:c>
      <x:c r="C40" s="12" t="str">
        <x:v>Lutradur</x:v>
      </x:c>
      <x:c r="D40" s="12" t="str">
        <x:v>nao_tecido</x:v>
      </x:c>
      <x:c r="E40" s="12" t="str">
        <x:v>spunbond poliéster</x:v>
      </x:c>
      <x:c r="F40" s="12" t="str">
        <x:v>Página técnica oficial; detalhamento adicional sob consulta</x:v>
      </x:c>
      <x:c r="G40" s="12" t="str">
        <x:v>https://www.freudenberg-pm.com/en/brands/lutradur</x:v>
      </x:c>
      <x:c r="H40" s="12" t="str">
        <x:v>Média</x:v>
      </x:c>
      <x:c r="I40" s="12" t="str">
        <x:v>Internacional</x:v>
      </x:c>
      <x:c r="J40" s="12" t="str">
        <x:v>Solicitar amostra ao fabricante/distribuidor</x:v>
      </x:c>
      <x:c r="K40" s="12" t="str">
        <x:v>A solicitar</x:v>
      </x:c>
      <x:c r="L40" s="12" t="str">
        <x:v>Referência localizada</x:v>
      </x:c>
      <x:c r="M40" s="12" t="str">
        <x:v>Candidata</x:v>
      </x:c>
      <x:c r="N40" s="12" t="str">
        <x:v>Operations</x:v>
      </x:c>
      <x:c r="O40" s="12" t="n">
        <x:v>1</x:v>
      </x:c>
      <x:c r="P40" s="12"/>
      <x:c r="Q40" s="12"/>
      <x:c r="R40" s="12"/>
      <x:c r="S40" s="12" t="str">
        <x:v>Não revisada</x:v>
      </x:c>
      <x:c r="T40" s="12" t="str">
        <x:v>Confirmar ficha técnica/ensaio e código exato antes da aceitação.</x:v>
      </x:c>
      <x:c r="U40" s="12" t="str">
        <x:v>dimension-revision:structure.family:v0.3</x:v>
      </x:c>
      <x:c r="V40" s="12" t="str">
        <x:v>concept-revision:structure.family.nonwoven:v0.3</x:v>
      </x:c>
      <x:c r="W40" s="12" t="str">
        <x:v>concept-revision:nonwoven.extrusion.spunbond:v0.3</x:v>
      </x:c>
      <x:c r="X40" s="12" t="str">
        <x:v>lead_only_not_asserted</x:v>
      </x:c>
      <x:c r="Y40" s="12" t="str">
        <x:v>textile-sample:ops-tx-039</x:v>
      </x:c>
      <x:c r="Z40" s="12"/>
      <x:c r="AA40" s="12"/>
      <x:c r="AB40" s="12"/>
      <x:c r="AC40" s="12"/>
      <x:c r="AD40" s="12" t="str">
        <x:v>wave-1-ahlstrom-freudenberg</x:v>
      </x:c>
      <x:c r="AE40" s="12" t="str">
        <x:v>spunbond poliéster</x:v>
      </x:c>
      <x:c r="AF40" s="67"/>
      <x:c r="AG40" s="12"/>
      <x:c r="AH40" s="12" t="str">
        <x:v>menção textual — revisão pendente</x:v>
      </x:c>
      <x:c r="AI40" s="12"/>
      <x:c r="AJ40" s="67"/>
      <x:c r="AK40" s="12"/>
      <x:c r="AL40" s="12" t="str">
        <x:v>poliéster</x:v>
      </x:c>
      <x:c r="AM40" s="12" t="str">
        <x:v>Não identificado</x:v>
      </x:c>
      <x:c r="AN40" s="12" t="str">
        <x:v>Não identificada</x:v>
      </x:c>
      <x:c r="AO40" s="12" t="str">
        <x:v>not_calculable</x:v>
      </x:c>
      <x:c r="AP40" s="12" t="str">
        <x:v>E — desconhecido / referência ainda não validada</x:v>
      </x:c>
      <x:c r="AQ40" s="68" t="n">
        <x:v>16</x:v>
      </x:c>
      <x:c r="AR40" s="68" t="n">
        <x:v>20</x:v>
      </x:c>
      <x:c r="AS40" s="68" t="n">
        <x:v>3</x:v>
      </x:c>
      <x:c r="AT40" s="68" t="n">
        <x:v>0</x:v>
      </x:c>
      <x:c r="AU40" s="68" t="n">
        <x:v>0</x:v>
      </x:c>
      <x:c r="AV40" s="68" t="n">
        <x:v>39</x:v>
      </x:c>
      <x:c r="AW40" s="12" t="str">
        <x:v>Sim</x:v>
      </x:c>
      <x:c r="AX40" s="12" t="str">
        <x:v>composição percentual ausente; gramatura ausente; sem Evidence validada; geografia de produção não especificada; extrações automáticas exigem revisão humana</x:v>
      </x:c>
      <x:c r="AY40" s="12" t="str">
        <x:v>not_applicable</x:v>
      </x:c>
    </x:row>
    <x:row r="41">
      <x:c r="A41" s="12" t="str">
        <x:v>OPS-TX-040</x:v>
      </x:c>
      <x:c r="B41" s="12" t="str">
        <x:v>Freudenberg Performance Materials</x:v>
      </x:c>
      <x:c r="C41" s="12" t="str">
        <x:v>Terbond</x:v>
      </x:c>
      <x:c r="D41" s="12" t="str">
        <x:v>nao_tecido</x:v>
      </x:c>
      <x:c r="E41" s="12" t="str">
        <x:v>não tecido poliéster</x:v>
      </x:c>
      <x:c r="F41" s="12" t="str">
        <x:v>Página técnica oficial; detalhamento adicional sob consulta</x:v>
      </x:c>
      <x:c r="G41" s="12" t="str">
        <x:v>https://www.freudenberg-pm.com/en/brands/terbond-texbond</x:v>
      </x:c>
      <x:c r="H41" s="12" t="str">
        <x:v>Média</x:v>
      </x:c>
      <x:c r="I41" s="12" t="str">
        <x:v>Internacional</x:v>
      </x:c>
      <x:c r="J41" s="12" t="str">
        <x:v>Solicitar amostra ao fabricante/distribuidor</x:v>
      </x:c>
      <x:c r="K41" s="12" t="str">
        <x:v>A solicitar</x:v>
      </x:c>
      <x:c r="L41" s="12" t="str">
        <x:v>Referência localizada</x:v>
      </x:c>
      <x:c r="M41" s="12" t="str">
        <x:v>Candidata</x:v>
      </x:c>
      <x:c r="N41" s="12" t="str">
        <x:v>Operations</x:v>
      </x:c>
      <x:c r="O41" s="12" t="n">
        <x:v>1</x:v>
      </x:c>
      <x:c r="P41" s="12"/>
      <x:c r="Q41" s="12"/>
      <x:c r="R41" s="12"/>
      <x:c r="S41" s="12" t="str">
        <x:v>Não revisada</x:v>
      </x:c>
      <x:c r="T41" s="12" t="str">
        <x:v>Confirmar ficha técnica/ensaio e código exato antes da aceitação.</x:v>
      </x:c>
      <x:c r="U41" s="12" t="str">
        <x:v>dimension-revision:structure.family:v0.3</x:v>
      </x:c>
      <x:c r="V41" s="12" t="str">
        <x:v>concept-revision:structure.family.nonwoven:v0.3</x:v>
      </x:c>
      <x:c r="W41" s="12"/>
      <x:c r="X41" s="12" t="str">
        <x:v>lead_only_not_asserted</x:v>
      </x:c>
      <x:c r="Y41" s="12" t="str">
        <x:v>textile-sample:ops-tx-040</x:v>
      </x:c>
      <x:c r="Z41" s="12"/>
      <x:c r="AA41" s="12"/>
      <x:c r="AB41" s="12"/>
      <x:c r="AC41" s="12"/>
      <x:c r="AD41" s="12" t="str">
        <x:v>wave-1-ahlstrom-freudenberg</x:v>
      </x:c>
      <x:c r="AE41" s="12" t="str">
        <x:v>não tecido poliéster</x:v>
      </x:c>
      <x:c r="AF41" s="67"/>
      <x:c r="AG41" s="12"/>
      <x:c r="AH41" s="12" t="str">
        <x:v>menção textual — revisão pendente</x:v>
      </x:c>
      <x:c r="AI41" s="12"/>
      <x:c r="AJ41" s="67"/>
      <x:c r="AK41" s="12"/>
      <x:c r="AL41" s="12" t="str">
        <x:v>poliéster</x:v>
      </x:c>
      <x:c r="AM41" s="12" t="str">
        <x:v>Não identificado</x:v>
      </x:c>
      <x:c r="AN41" s="12" t="str">
        <x:v>Não identificada</x:v>
      </x:c>
      <x:c r="AO41" s="12" t="str">
        <x:v>not_calculable</x:v>
      </x:c>
      <x:c r="AP41" s="12" t="str">
        <x:v>E — desconhecido / referência ainda não validada</x:v>
      </x:c>
      <x:c r="AQ41" s="68" t="n">
        <x:v>16</x:v>
      </x:c>
      <x:c r="AR41" s="68" t="n">
        <x:v>16</x:v>
      </x:c>
      <x:c r="AS41" s="68" t="n">
        <x:v>3</x:v>
      </x:c>
      <x:c r="AT41" s="68" t="n">
        <x:v>0</x:v>
      </x:c>
      <x:c r="AU41" s="68" t="n">
        <x:v>0</x:v>
      </x:c>
      <x:c r="AV41" s="68" t="n">
        <x:v>35</x:v>
      </x:c>
      <x:c r="AW41" s="12" t="str">
        <x:v>Sim</x:v>
      </x:c>
      <x:c r="AX41" s="12" t="str">
        <x:v>composição percentual ausente; gramatura ausente; sem Evidence validada; geografia de produção não especificada; extrações automáticas exigem revisão humana</x:v>
      </x:c>
      <x:c r="AY41" s="12" t="str">
        <x:v>not_applicable</x:v>
      </x:c>
    </x:row>
    <x:row r="42">
      <x:c r="A42" s="12" t="str">
        <x:v>OPS-TX-041</x:v>
      </x:c>
      <x:c r="B42" s="12" t="str">
        <x:v>Freudenberg Performance Materials</x:v>
      </x:c>
      <x:c r="C42" s="12" t="str">
        <x:v>Texbond</x:v>
      </x:c>
      <x:c r="D42" s="12" t="str">
        <x:v>nao_tecido</x:v>
      </x:c>
      <x:c r="E42" s="12" t="str">
        <x:v>não tecido poliéster reforçado</x:v>
      </x:c>
      <x:c r="F42" s="12" t="str">
        <x:v>Página técnica oficial; detalhamento adicional sob consulta</x:v>
      </x:c>
      <x:c r="G42" s="12" t="str">
        <x:v>https://www.freudenberg-pm.com/en/brands/terbond-texbond</x:v>
      </x:c>
      <x:c r="H42" s="12" t="str">
        <x:v>Média</x:v>
      </x:c>
      <x:c r="I42" s="12" t="str">
        <x:v>Internacional</x:v>
      </x:c>
      <x:c r="J42" s="12" t="str">
        <x:v>Solicitar amostra ao fabricante/distribuidor</x:v>
      </x:c>
      <x:c r="K42" s="12" t="str">
        <x:v>A solicitar</x:v>
      </x:c>
      <x:c r="L42" s="12" t="str">
        <x:v>Referência localizada</x:v>
      </x:c>
      <x:c r="M42" s="12" t="str">
        <x:v>Candidata</x:v>
      </x:c>
      <x:c r="N42" s="12" t="str">
        <x:v>Operations</x:v>
      </x:c>
      <x:c r="O42" s="12" t="n">
        <x:v>1</x:v>
      </x:c>
      <x:c r="P42" s="12"/>
      <x:c r="Q42" s="12"/>
      <x:c r="R42" s="12"/>
      <x:c r="S42" s="12" t="str">
        <x:v>Não revisada</x:v>
      </x:c>
      <x:c r="T42" s="12" t="str">
        <x:v>Confirmar ficha técnica/ensaio e código exato antes da aceitação.</x:v>
      </x:c>
      <x:c r="U42" s="12" t="str">
        <x:v>dimension-revision:structure.family:v0.3</x:v>
      </x:c>
      <x:c r="V42" s="12" t="str">
        <x:v>concept-revision:structure.family.nonwoven:v0.3</x:v>
      </x:c>
      <x:c r="W42" s="12"/>
      <x:c r="X42" s="12" t="str">
        <x:v>lead_only_not_asserted</x:v>
      </x:c>
      <x:c r="Y42" s="12" t="str">
        <x:v>textile-sample:ops-tx-041</x:v>
      </x:c>
      <x:c r="Z42" s="12"/>
      <x:c r="AA42" s="12"/>
      <x:c r="AB42" s="12"/>
      <x:c r="AC42" s="12"/>
      <x:c r="AD42" s="12" t="str">
        <x:v>wave-1-ahlstrom-freudenberg</x:v>
      </x:c>
      <x:c r="AE42" s="12" t="str">
        <x:v>não tecido poliéster reforçado</x:v>
      </x:c>
      <x:c r="AF42" s="67"/>
      <x:c r="AG42" s="12"/>
      <x:c r="AH42" s="12" t="str">
        <x:v>menção textual — revisão pendente</x:v>
      </x:c>
      <x:c r="AI42" s="12"/>
      <x:c r="AJ42" s="67"/>
      <x:c r="AK42" s="12"/>
      <x:c r="AL42" s="12" t="str">
        <x:v>poliéster</x:v>
      </x:c>
      <x:c r="AM42" s="12" t="str">
        <x:v>Não identificado</x:v>
      </x:c>
      <x:c r="AN42" s="12" t="str">
        <x:v>Não identificada</x:v>
      </x:c>
      <x:c r="AO42" s="12" t="str">
        <x:v>not_calculable</x:v>
      </x:c>
      <x:c r="AP42" s="12" t="str">
        <x:v>E — desconhecido / referência ainda não validada</x:v>
      </x:c>
      <x:c r="AQ42" s="68" t="n">
        <x:v>16</x:v>
      </x:c>
      <x:c r="AR42" s="68" t="n">
        <x:v>16</x:v>
      </x:c>
      <x:c r="AS42" s="68" t="n">
        <x:v>3</x:v>
      </x:c>
      <x:c r="AT42" s="68" t="n">
        <x:v>0</x:v>
      </x:c>
      <x:c r="AU42" s="68" t="n">
        <x:v>0</x:v>
      </x:c>
      <x:c r="AV42" s="68" t="n">
        <x:v>35</x:v>
      </x:c>
      <x:c r="AW42" s="12" t="str">
        <x:v>Sim</x:v>
      </x:c>
      <x:c r="AX42" s="12" t="str">
        <x:v>composição percentual ausente; gramatura ausente; sem Evidence validada; geografia de produção não especificada; extrações automáticas exigem revisão humana</x:v>
      </x:c>
      <x:c r="AY42" s="12" t="str">
        <x:v>not_applicable</x:v>
      </x:c>
    </x:row>
    <x:row r="43">
      <x:c r="A43" s="12" t="str">
        <x:v>OPS-TX-042</x:v>
      </x:c>
      <x:c r="B43" s="12" t="str">
        <x:v>Freudenberg Performance Materials</x:v>
      </x:c>
      <x:c r="C43" s="12" t="str">
        <x:v>comfortemp</x:v>
      </x:c>
      <x:c r="D43" s="12" t="str">
        <x:v>estrutura_composta</x:v>
      </x:c>
      <x:c r="E43" s="12" t="str">
        <x:v>isolamento/PCM em estrutura têxtil</x:v>
      </x:c>
      <x:c r="F43" s="12" t="str">
        <x:v>Página técnica oficial; detalhamento adicional sob consulta</x:v>
      </x:c>
      <x:c r="G43" s="12" t="str">
        <x:v>https://www.freudenberg-pm.com/en</x:v>
      </x:c>
      <x:c r="H43" s="12" t="str">
        <x:v>Média</x:v>
      </x:c>
      <x:c r="I43" s="12" t="str">
        <x:v>Internacional</x:v>
      </x:c>
      <x:c r="J43" s="12" t="str">
        <x:v>Solicitar amostra ao fabricante/distribuidor</x:v>
      </x:c>
      <x:c r="K43" s="12" t="str">
        <x:v>A solicitar</x:v>
      </x:c>
      <x:c r="L43" s="12" t="str">
        <x:v>Referência localizada</x:v>
      </x:c>
      <x:c r="M43" s="12" t="str">
        <x:v>Candidata</x:v>
      </x:c>
      <x:c r="N43" s="12" t="str">
        <x:v>Operations</x:v>
      </x:c>
      <x:c r="O43" s="12" t="n">
        <x:v>1</x:v>
      </x:c>
      <x:c r="P43" s="12"/>
      <x:c r="Q43" s="12"/>
      <x:c r="R43" s="12"/>
      <x:c r="S43" s="12" t="str">
        <x:v>Não revisada</x:v>
      </x:c>
      <x:c r="T43" s="12" t="str">
        <x:v>Confirmar ficha técnica/ensaio e código exato antes da aceitação.</x:v>
      </x:c>
      <x:c r="U43" s="12" t="str">
        <x:v>dimension-revision:structure.family:v0.3</x:v>
      </x:c>
      <x:c r="V43" s="12" t="str">
        <x:v>concept-revision:structure.family.composite_structure:v0.3</x:v>
      </x:c>
      <x:c r="W43" s="12"/>
      <x:c r="X43" s="12" t="str">
        <x:v>lead_only_not_asserted</x:v>
      </x:c>
      <x:c r="Y43" s="12" t="str">
        <x:v>textile-sample:ops-tx-042</x:v>
      </x:c>
      <x:c r="Z43" s="12"/>
      <x:c r="AA43" s="12"/>
      <x:c r="AB43" s="12"/>
      <x:c r="AC43" s="12"/>
      <x:c r="AD43" s="12" t="str">
        <x:v>wave-1-ahlstrom-freudenberg</x:v>
      </x:c>
      <x:c r="AE43" s="12" t="str">
        <x:v>isolamento/PCM em estrutura têxtil</x:v>
      </x:c>
      <x:c r="AF43" s="67"/>
      <x:c r="AG43" s="12"/>
      <x:c r="AH43" s="12" t="str">
        <x:v>não informado</x:v>
      </x:c>
      <x:c r="AI43" s="12"/>
      <x:c r="AJ43" s="67"/>
      <x:c r="AK43" s="12"/>
      <x:c r="AL43" s="12"/>
      <x:c r="AM43" s="12" t="str">
        <x:v>Não identificado</x:v>
      </x:c>
      <x:c r="AN43" s="12" t="str">
        <x:v>Não identificada</x:v>
      </x:c>
      <x:c r="AO43" s="12" t="str">
        <x:v>not_calculable</x:v>
      </x:c>
      <x:c r="AP43" s="12" t="str">
        <x:v>E — desconhecido / referência ainda não validada</x:v>
      </x:c>
      <x:c r="AQ43" s="68" t="n">
        <x:v>16</x:v>
      </x:c>
      <x:c r="AR43" s="68" t="n">
        <x:v>16</x:v>
      </x:c>
      <x:c r="AS43" s="68" t="n">
        <x:v>0</x:v>
      </x:c>
      <x:c r="AT43" s="68" t="n">
        <x:v>0</x:v>
      </x:c>
      <x:c r="AU43" s="68" t="n">
        <x:v>0</x:v>
      </x:c>
      <x:c r="AV43" s="68" t="n">
        <x:v>32</x:v>
      </x:c>
      <x:c r="AW43" s="12" t="str">
        <x:v>Sim</x:v>
      </x:c>
      <x:c r="AX43" s="12" t="str">
        <x:v>composição percentual ausente; gramatura ausente; sem Evidence validada; geografia de produção não especificada; extrações automáticas exigem revisão humana</x:v>
      </x:c>
      <x:c r="AY43" s="12" t="str">
        <x:v>not_applicable</x:v>
      </x:c>
    </x:row>
    <x:row r="44">
      <x:c r="A44" s="12" t="str">
        <x:v>OPS-TX-043</x:v>
      </x:c>
      <x:c r="B44" s="12" t="str">
        <x:v>Freudenberg Performance Materials</x:v>
      </x:c>
      <x:c r="C44" s="12" t="str">
        <x:v>Dripstop</x:v>
      </x:c>
      <x:c r="D44" s="12" t="str">
        <x:v>estrutura_composta</x:v>
      </x:c>
      <x:c r="E44" s="12" t="str">
        <x:v>não tecido funcional aplicado a cobertura</x:v>
      </x:c>
      <x:c r="F44" s="12" t="str">
        <x:v>Página técnica oficial; detalhamento adicional sob consulta</x:v>
      </x:c>
      <x:c r="G44" s="12" t="str">
        <x:v>https://www.freudenberg-pm.com/en</x:v>
      </x:c>
      <x:c r="H44" s="12" t="str">
        <x:v>Média</x:v>
      </x:c>
      <x:c r="I44" s="12" t="str">
        <x:v>Internacional</x:v>
      </x:c>
      <x:c r="J44" s="12" t="str">
        <x:v>Solicitar amostra ao fabricante/distribuidor</x:v>
      </x:c>
      <x:c r="K44" s="12" t="str">
        <x:v>A solicitar</x:v>
      </x:c>
      <x:c r="L44" s="12" t="str">
        <x:v>Referência localizada</x:v>
      </x:c>
      <x:c r="M44" s="12" t="str">
        <x:v>Candidata</x:v>
      </x:c>
      <x:c r="N44" s="12" t="str">
        <x:v>Operations</x:v>
      </x:c>
      <x:c r="O44" s="12" t="n">
        <x:v>1</x:v>
      </x:c>
      <x:c r="P44" s="12"/>
      <x:c r="Q44" s="12"/>
      <x:c r="R44" s="12"/>
      <x:c r="S44" s="12" t="str">
        <x:v>Não revisada</x:v>
      </x:c>
      <x:c r="T44" s="12" t="str">
        <x:v>Confirmar ficha técnica/ensaio e código exato antes da aceitação.</x:v>
      </x:c>
      <x:c r="U44" s="12" t="str">
        <x:v>dimension-revision:structure.family:v0.3</x:v>
      </x:c>
      <x:c r="V44" s="12" t="str">
        <x:v>concept-revision:structure.family.composite_structure:v0.3</x:v>
      </x:c>
      <x:c r="W44" s="12"/>
      <x:c r="X44" s="12" t="str">
        <x:v>lead_only_not_asserted</x:v>
      </x:c>
      <x:c r="Y44" s="12" t="str">
        <x:v>textile-sample:ops-tx-043</x:v>
      </x:c>
      <x:c r="Z44" s="12"/>
      <x:c r="AA44" s="12"/>
      <x:c r="AB44" s="12"/>
      <x:c r="AC44" s="12"/>
      <x:c r="AD44" s="12" t="str">
        <x:v>wave-1-ahlstrom-freudenberg</x:v>
      </x:c>
      <x:c r="AE44" s="12" t="str">
        <x:v>não tecido funcional aplicado a cobertura</x:v>
      </x:c>
      <x:c r="AF44" s="67"/>
      <x:c r="AG44" s="12"/>
      <x:c r="AH44" s="12" t="str">
        <x:v>não informado</x:v>
      </x:c>
      <x:c r="AI44" s="12"/>
      <x:c r="AJ44" s="67"/>
      <x:c r="AK44" s="12"/>
      <x:c r="AL44" s="12"/>
      <x:c r="AM44" s="12" t="str">
        <x:v>Não identificado</x:v>
      </x:c>
      <x:c r="AN44" s="12" t="str">
        <x:v>Não identificada</x:v>
      </x:c>
      <x:c r="AO44" s="12" t="str">
        <x:v>not_calculable</x:v>
      </x:c>
      <x:c r="AP44" s="12" t="str">
        <x:v>E — desconhecido / referência ainda não validada</x:v>
      </x:c>
      <x:c r="AQ44" s="68" t="n">
        <x:v>16</x:v>
      </x:c>
      <x:c r="AR44" s="68" t="n">
        <x:v>16</x:v>
      </x:c>
      <x:c r="AS44" s="68" t="n">
        <x:v>0</x:v>
      </x:c>
      <x:c r="AT44" s="68" t="n">
        <x:v>0</x:v>
      </x:c>
      <x:c r="AU44" s="68" t="n">
        <x:v>0</x:v>
      </x:c>
      <x:c r="AV44" s="68" t="n">
        <x:v>32</x:v>
      </x:c>
      <x:c r="AW44" s="12" t="str">
        <x:v>Sim</x:v>
      </x:c>
      <x:c r="AX44" s="12" t="str">
        <x:v>composição percentual ausente; gramatura ausente; sem Evidence validada; geografia de produção não especificada; extrações automáticas exigem revisão humana</x:v>
      </x:c>
      <x:c r="AY44" s="12" t="str">
        <x:v>not_applicable</x:v>
      </x:c>
    </x:row>
    <x:row r="45">
      <x:c r="A45" s="12" t="str">
        <x:v>OPS-TX-044</x:v>
      </x:c>
      <x:c r="B45" s="12" t="str">
        <x:v>Freudenberg Performance Materials</x:v>
      </x:c>
      <x:c r="C45" s="12" t="str">
        <x:v>MehlerHeytex</x:v>
      </x:c>
      <x:c r="D45" s="12" t="str">
        <x:v>estrutura_composta</x:v>
      </x:c>
      <x:c r="E45" s="12" t="str">
        <x:v>têxtil técnico revestido</x:v>
      </x:c>
      <x:c r="F45" s="12" t="str">
        <x:v>Página técnica oficial; detalhamento adicional sob consulta</x:v>
      </x:c>
      <x:c r="G45" s="12" t="str">
        <x:v>https://www.freudenberg-pm.com/en</x:v>
      </x:c>
      <x:c r="H45" s="12" t="str">
        <x:v>Média</x:v>
      </x:c>
      <x:c r="I45" s="12" t="str">
        <x:v>Internacional</x:v>
      </x:c>
      <x:c r="J45" s="12" t="str">
        <x:v>Solicitar amostra ao fabricante/distribuidor</x:v>
      </x:c>
      <x:c r="K45" s="12" t="str">
        <x:v>A solicitar</x:v>
      </x:c>
      <x:c r="L45" s="12" t="str">
        <x:v>Referência localizada</x:v>
      </x:c>
      <x:c r="M45" s="12" t="str">
        <x:v>Candidata</x:v>
      </x:c>
      <x:c r="N45" s="12" t="str">
        <x:v>Operations</x:v>
      </x:c>
      <x:c r="O45" s="12" t="n">
        <x:v>1</x:v>
      </x:c>
      <x:c r="P45" s="12"/>
      <x:c r="Q45" s="12"/>
      <x:c r="R45" s="12"/>
      <x:c r="S45" s="12" t="str">
        <x:v>Não revisada</x:v>
      </x:c>
      <x:c r="T45" s="12" t="str">
        <x:v>Confirmar ficha técnica/ensaio e código exato antes da aceitação.</x:v>
      </x:c>
      <x:c r="U45" s="12" t="str">
        <x:v>dimension-revision:structure.family:v0.3</x:v>
      </x:c>
      <x:c r="V45" s="12" t="str">
        <x:v>concept-revision:structure.family.composite_structure:v0.3</x:v>
      </x:c>
      <x:c r="W45" s="12" t="str">
        <x:v>concept-revision:composite.type.coated_structural:v0.3</x:v>
      </x:c>
      <x:c r="X45" s="12" t="str">
        <x:v>lead_only_not_asserted</x:v>
      </x:c>
      <x:c r="Y45" s="12" t="str">
        <x:v>textile-sample:ops-tx-044</x:v>
      </x:c>
      <x:c r="Z45" s="12"/>
      <x:c r="AA45" s="12"/>
      <x:c r="AB45" s="12"/>
      <x:c r="AC45" s="12"/>
      <x:c r="AD45" s="12" t="str">
        <x:v>wave-1-ahlstrom-freudenberg</x:v>
      </x:c>
      <x:c r="AE45" s="12" t="str">
        <x:v>têxtil técnico revestido</x:v>
      </x:c>
      <x:c r="AF45" s="67"/>
      <x:c r="AG45" s="12"/>
      <x:c r="AH45" s="12" t="str">
        <x:v>não informado</x:v>
      </x:c>
      <x:c r="AI45" s="12"/>
      <x:c r="AJ45" s="67"/>
      <x:c r="AK45" s="12"/>
      <x:c r="AL45" s="12"/>
      <x:c r="AM45" s="12" t="str">
        <x:v>Não identificado</x:v>
      </x:c>
      <x:c r="AN45" s="12" t="str">
        <x:v>Não identificada</x:v>
      </x:c>
      <x:c r="AO45" s="12" t="str">
        <x:v>not_calculable</x:v>
      </x:c>
      <x:c r="AP45" s="12" t="str">
        <x:v>E — desconhecido / referência ainda não validada</x:v>
      </x:c>
      <x:c r="AQ45" s="68" t="n">
        <x:v>16</x:v>
      </x:c>
      <x:c r="AR45" s="68" t="n">
        <x:v>20</x:v>
      </x:c>
      <x:c r="AS45" s="68" t="n">
        <x:v>0</x:v>
      </x:c>
      <x:c r="AT45" s="68" t="n">
        <x:v>0</x:v>
      </x:c>
      <x:c r="AU45" s="68" t="n">
        <x:v>0</x:v>
      </x:c>
      <x:c r="AV45" s="68" t="n">
        <x:v>36</x:v>
      </x:c>
      <x:c r="AW45" s="12" t="str">
        <x:v>Sim</x:v>
      </x:c>
      <x:c r="AX45" s="12" t="str">
        <x:v>composição percentual ausente; gramatura ausente; sem Evidence validada; geografia de produção não especificada; extrações automáticas exigem revisão humana</x:v>
      </x:c>
      <x:c r="AY45" s="12" t="str">
        <x:v>not_applicable</x:v>
      </x:c>
    </x:row>
    <x:row r="46">
      <x:c r="A46" s="12" t="str">
        <x:v>OPS-TX-045</x:v>
      </x:c>
      <x:c r="B46" s="12" t="str">
        <x:v>Freudenberg Performance Materials</x:v>
      </x:c>
      <x:c r="C46" s="12" t="str">
        <x:v>Vlieseline</x:v>
      </x:c>
      <x:c r="D46" s="12" t="str">
        <x:v>nao_tecido</x:v>
      </x:c>
      <x:c r="E46" s="12" t="str">
        <x:v>entretela não tecida</x:v>
      </x:c>
      <x:c r="F46" s="12" t="str">
        <x:v>Página técnica oficial; detalhamento adicional sob consulta</x:v>
      </x:c>
      <x:c r="G46" s="12" t="str">
        <x:v>https://www.freudenberg-pm.com/en</x:v>
      </x:c>
      <x:c r="H46" s="12" t="str">
        <x:v>Média</x:v>
      </x:c>
      <x:c r="I46" s="12" t="str">
        <x:v>Internacional</x:v>
      </x:c>
      <x:c r="J46" s="12" t="str">
        <x:v>Solicitar amostra ao fabricante/distribuidor</x:v>
      </x:c>
      <x:c r="K46" s="12" t="str">
        <x:v>A solicitar</x:v>
      </x:c>
      <x:c r="L46" s="12" t="str">
        <x:v>Referência localizada</x:v>
      </x:c>
      <x:c r="M46" s="12" t="str">
        <x:v>Candidata</x:v>
      </x:c>
      <x:c r="N46" s="12" t="str">
        <x:v>Operations</x:v>
      </x:c>
      <x:c r="O46" s="12" t="n">
        <x:v>1</x:v>
      </x:c>
      <x:c r="P46" s="12"/>
      <x:c r="Q46" s="12"/>
      <x:c r="R46" s="12"/>
      <x:c r="S46" s="12" t="str">
        <x:v>Não revisada</x:v>
      </x:c>
      <x:c r="T46" s="12" t="str">
        <x:v>Confirmar ficha técnica/ensaio e código exato antes da aceitação.</x:v>
      </x:c>
      <x:c r="U46" s="12" t="str">
        <x:v>dimension-revision:structure.family:v0.3</x:v>
      </x:c>
      <x:c r="V46" s="12" t="str">
        <x:v>concept-revision:structure.family.nonwoven:v0.3</x:v>
      </x:c>
      <x:c r="W46" s="12"/>
      <x:c r="X46" s="12" t="str">
        <x:v>lead_only_not_asserted</x:v>
      </x:c>
      <x:c r="Y46" s="12" t="str">
        <x:v>textile-sample:ops-tx-045</x:v>
      </x:c>
      <x:c r="Z46" s="12"/>
      <x:c r="AA46" s="12"/>
      <x:c r="AB46" s="12"/>
      <x:c r="AC46" s="12"/>
      <x:c r="AD46" s="12" t="str">
        <x:v>wave-1-ahlstrom-freudenberg</x:v>
      </x:c>
      <x:c r="AE46" s="12" t="str">
        <x:v>entretela não tecida</x:v>
      </x:c>
      <x:c r="AF46" s="67"/>
      <x:c r="AG46" s="12"/>
      <x:c r="AH46" s="12" t="str">
        <x:v>não informado</x:v>
      </x:c>
      <x:c r="AI46" s="12"/>
      <x:c r="AJ46" s="67"/>
      <x:c r="AK46" s="12"/>
      <x:c r="AL46" s="12"/>
      <x:c r="AM46" s="12" t="str">
        <x:v>Não identificado</x:v>
      </x:c>
      <x:c r="AN46" s="12" t="str">
        <x:v>Não identificada</x:v>
      </x:c>
      <x:c r="AO46" s="12" t="str">
        <x:v>not_calculable</x:v>
      </x:c>
      <x:c r="AP46" s="12" t="str">
        <x:v>E — desconhecido / referência ainda não validada</x:v>
      </x:c>
      <x:c r="AQ46" s="68" t="n">
        <x:v>16</x:v>
      </x:c>
      <x:c r="AR46" s="68" t="n">
        <x:v>16</x:v>
      </x:c>
      <x:c r="AS46" s="68" t="n">
        <x:v>0</x:v>
      </x:c>
      <x:c r="AT46" s="68" t="n">
        <x:v>0</x:v>
      </x:c>
      <x:c r="AU46" s="68" t="n">
        <x:v>0</x:v>
      </x:c>
      <x:c r="AV46" s="68" t="n">
        <x:v>32</x:v>
      </x:c>
      <x:c r="AW46" s="12" t="str">
        <x:v>Sim</x:v>
      </x:c>
      <x:c r="AX46" s="12" t="str">
        <x:v>composição percentual ausente; gramatura ausente; sem Evidence validada; geografia de produção não especificada; extrações automáticas exigem revisão humana</x:v>
      </x:c>
      <x:c r="AY46" s="12" t="str">
        <x:v>not_applicable</x:v>
      </x:c>
    </x:row>
    <x:row r="47">
      <x:c r="A47" s="12" t="str">
        <x:v>OPS-TX-046</x:v>
      </x:c>
      <x:c r="B47" s="12" t="str">
        <x:v>Ahlstrom</x:v>
      </x:c>
      <x:c r="C47" s="12" t="str">
        <x:v>Reliance Wetlaid</x:v>
      </x:c>
      <x:c r="D47" s="12" t="str">
        <x:v>nao_tecido</x:v>
      </x:c>
      <x:c r="E47" s="12" t="str">
        <x:v>wetlaid celulose/PET/binder</x:v>
      </x:c>
      <x:c r="F47" s="12" t="str">
        <x:v>Página técnica oficial</x:v>
      </x:c>
      <x:c r="G47" s="12" t="str">
        <x:v>https://www.ahlstrom.com/products/medical-life-sciences-and-laboratory/sterilization-wraps2/reliance-wetlaid-nonwoven/</x:v>
      </x:c>
      <x:c r="H47" s="12" t="str">
        <x:v>Alta</x:v>
      </x:c>
      <x:c r="I47" s="12" t="str">
        <x:v>Internacional</x:v>
      </x:c>
      <x:c r="J47" s="12" t="str">
        <x:v>Solicitar amostra ao fabricante/distribuidor</x:v>
      </x:c>
      <x:c r="K47" s="12" t="str">
        <x:v>A solicitar</x:v>
      </x:c>
      <x:c r="L47" s="12" t="str">
        <x:v>Referência localizada</x:v>
      </x:c>
      <x:c r="M47" s="12" t="str">
        <x:v>Candidata</x:v>
      </x:c>
      <x:c r="N47" s="12" t="str">
        <x:v>Operations</x:v>
      </x:c>
      <x:c r="O47" s="12" t="n">
        <x:v>1</x:v>
      </x:c>
      <x:c r="P47" s="12"/>
      <x:c r="Q47" s="12"/>
      <x:c r="R47" s="12"/>
      <x:c r="S47" s="12" t="str">
        <x:v>Não revisada</x:v>
      </x:c>
      <x:c r="T47" s="12" t="str">
        <x:v>Confirmar ficha técnica/ensaio e código exato antes da aceitação.</x:v>
      </x:c>
      <x:c r="U47" s="12" t="str">
        <x:v>dimension-revision:structure.family:v0.3</x:v>
      </x:c>
      <x:c r="V47" s="12" t="str">
        <x:v>concept-revision:structure.family.nonwoven:v0.3</x:v>
      </x:c>
      <x:c r="W47" s="12" t="str">
        <x:v>concept-revision:nonwoven.web_formation.wetlaid:v0.3</x:v>
      </x:c>
      <x:c r="X47" s="12" t="str">
        <x:v>lead_only_not_asserted</x:v>
      </x:c>
      <x:c r="Y47" s="12" t="str">
        <x:v>textile-sample:ops-tx-046</x:v>
      </x:c>
      <x:c r="Z47" s="12"/>
      <x:c r="AA47" s="12"/>
      <x:c r="AB47" s="12"/>
      <x:c r="AC47" s="12"/>
      <x:c r="AD47" s="12" t="str">
        <x:v>wave-1-ahlstrom-freudenberg</x:v>
      </x:c>
      <x:c r="AE47" s="12" t="str">
        <x:v>wetlaid celulose/PET/binder</x:v>
      </x:c>
      <x:c r="AF47" s="67"/>
      <x:c r="AG47" s="12"/>
      <x:c r="AH47" s="12" t="str">
        <x:v>não informado</x:v>
      </x:c>
      <x:c r="AI47" s="12"/>
      <x:c r="AJ47" s="67"/>
      <x:c r="AK47" s="12"/>
      <x:c r="AL47" s="12"/>
      <x:c r="AM47" s="12" t="str">
        <x:v>Não identificado</x:v>
      </x:c>
      <x:c r="AN47" s="12" t="str">
        <x:v>Não identificada</x:v>
      </x:c>
      <x:c r="AO47" s="12" t="str">
        <x:v>not_calculable</x:v>
      </x:c>
      <x:c r="AP47" s="12" t="str">
        <x:v>E — desconhecido / referência ainda não validada</x:v>
      </x:c>
      <x:c r="AQ47" s="68" t="n">
        <x:v>16</x:v>
      </x:c>
      <x:c r="AR47" s="68" t="n">
        <x:v>20</x:v>
      </x:c>
      <x:c r="AS47" s="68" t="n">
        <x:v>0</x:v>
      </x:c>
      <x:c r="AT47" s="68" t="n">
        <x:v>0</x:v>
      </x:c>
      <x:c r="AU47" s="68" t="n">
        <x:v>0</x:v>
      </x:c>
      <x:c r="AV47" s="68" t="n">
        <x:v>36</x:v>
      </x:c>
      <x:c r="AW47" s="12" t="str">
        <x:v>Sim</x:v>
      </x:c>
      <x:c r="AX47" s="12" t="str">
        <x:v>composição percentual ausente; gramatura ausente; sem Evidence validada; geografia de produção não especificada; extrações automáticas exigem revisão humana</x:v>
      </x:c>
      <x:c r="AY47" s="12" t="str">
        <x:v>not_applicable</x:v>
      </x:c>
    </x:row>
    <x:row r="48">
      <x:c r="A48" s="12" t="str">
        <x:v>OPS-TX-047</x:v>
      </x:c>
      <x:c r="B48" s="12" t="str">
        <x:v>Ahlstrom</x:v>
      </x:c>
      <x:c r="C48" s="12" t="str">
        <x:v>Reliance Detex</x:v>
      </x:c>
      <x:c r="D48" s="12" t="str">
        <x:v>nao_tecido</x:v>
      </x:c>
      <x:c r="E48" s="12" t="str">
        <x:v>wetlaid celulose/binder/PET</x:v>
      </x:c>
      <x:c r="F48" s="12" t="str">
        <x:v>Página técnica oficial</x:v>
      </x:c>
      <x:c r="G48" s="12" t="str">
        <x:v>https://www.ahlstrom.com/Media/articles/ahlstrom-munksjo-reliance-sms-and-dextex-wetlaid-nonwoven-receive-validation-from-the-french-government/</x:v>
      </x:c>
      <x:c r="H48" s="12" t="str">
        <x:v>Alta</x:v>
      </x:c>
      <x:c r="I48" s="12" t="str">
        <x:v>Internacional</x:v>
      </x:c>
      <x:c r="J48" s="12" t="str">
        <x:v>Solicitar amostra ao fabricante/distribuidor</x:v>
      </x:c>
      <x:c r="K48" s="12" t="str">
        <x:v>A solicitar</x:v>
      </x:c>
      <x:c r="L48" s="12" t="str">
        <x:v>Referência localizada</x:v>
      </x:c>
      <x:c r="M48" s="12" t="str">
        <x:v>Candidata</x:v>
      </x:c>
      <x:c r="N48" s="12" t="str">
        <x:v>Operations</x:v>
      </x:c>
      <x:c r="O48" s="12" t="n">
        <x:v>1</x:v>
      </x:c>
      <x:c r="P48" s="12"/>
      <x:c r="Q48" s="12"/>
      <x:c r="R48" s="12"/>
      <x:c r="S48" s="12" t="str">
        <x:v>Não revisada</x:v>
      </x:c>
      <x:c r="T48" s="12" t="str">
        <x:v>Confirmar ficha técnica/ensaio e código exato antes da aceitação.</x:v>
      </x:c>
      <x:c r="U48" s="12" t="str">
        <x:v>dimension-revision:structure.family:v0.3</x:v>
      </x:c>
      <x:c r="V48" s="12" t="str">
        <x:v>concept-revision:structure.family.nonwoven:v0.3</x:v>
      </x:c>
      <x:c r="W48" s="12" t="str">
        <x:v>concept-revision:nonwoven.web_formation.wetlaid:v0.3</x:v>
      </x:c>
      <x:c r="X48" s="12" t="str">
        <x:v>lead_only_not_asserted</x:v>
      </x:c>
      <x:c r="Y48" s="12" t="str">
        <x:v>textile-sample:ops-tx-047</x:v>
      </x:c>
      <x:c r="Z48" s="12"/>
      <x:c r="AA48" s="12"/>
      <x:c r="AB48" s="12"/>
      <x:c r="AC48" s="12"/>
      <x:c r="AD48" s="12" t="str">
        <x:v>wave-1-ahlstrom-freudenberg</x:v>
      </x:c>
      <x:c r="AE48" s="12" t="str">
        <x:v>wetlaid celulose/binder/PET</x:v>
      </x:c>
      <x:c r="AF48" s="67"/>
      <x:c r="AG48" s="12"/>
      <x:c r="AH48" s="12" t="str">
        <x:v>não informado</x:v>
      </x:c>
      <x:c r="AI48" s="12"/>
      <x:c r="AJ48" s="67"/>
      <x:c r="AK48" s="12"/>
      <x:c r="AL48" s="12"/>
      <x:c r="AM48" s="12" t="str">
        <x:v>Não identificado</x:v>
      </x:c>
      <x:c r="AN48" s="12" t="str">
        <x:v>Não identificada</x:v>
      </x:c>
      <x:c r="AO48" s="12" t="str">
        <x:v>not_calculable</x:v>
      </x:c>
      <x:c r="AP48" s="12" t="str">
        <x:v>E — desconhecido / referência ainda não validada</x:v>
      </x:c>
      <x:c r="AQ48" s="68" t="n">
        <x:v>16</x:v>
      </x:c>
      <x:c r="AR48" s="68" t="n">
        <x:v>20</x:v>
      </x:c>
      <x:c r="AS48" s="68" t="n">
        <x:v>0</x:v>
      </x:c>
      <x:c r="AT48" s="68" t="n">
        <x:v>0</x:v>
      </x:c>
      <x:c r="AU48" s="68" t="n">
        <x:v>0</x:v>
      </x:c>
      <x:c r="AV48" s="68" t="n">
        <x:v>36</x:v>
      </x:c>
      <x:c r="AW48" s="12" t="str">
        <x:v>Sim</x:v>
      </x:c>
      <x:c r="AX48" s="12" t="str">
        <x:v>composição percentual ausente; gramatura ausente; sem Evidence validada; geografia de produção não especificada; extrações automáticas exigem revisão humana</x:v>
      </x:c>
      <x:c r="AY48" s="12" t="str">
        <x:v>not_applicable</x:v>
      </x:c>
    </x:row>
    <x:row r="49">
      <x:c r="A49" s="12" t="str">
        <x:v>OPS-TX-048</x:v>
      </x:c>
      <x:c r="B49" s="12" t="str">
        <x:v>Ahlstrom</x:v>
      </x:c>
      <x:c r="C49" s="12" t="str">
        <x:v>PureArmor Tri-laminate</x:v>
      </x:c>
      <x:c r="D49" s="12" t="str">
        <x:v>estrutura_composta</x:v>
      </x:c>
      <x:c r="E49" s="12" t="str">
        <x:v>trilaminado não tecido</x:v>
      </x:c>
      <x:c r="F49" s="12" t="str">
        <x:v>Página técnica oficial</x:v>
      </x:c>
      <x:c r="G49" s="12" t="str">
        <x:v>https://www.ahlstrom.com/Media/releases/press-releases2/2017/ahlstrom-munksjo-purearmor-breathable-impervious-nonwoven-fabric-combines-superior-protection-with-great-comfort2/</x:v>
      </x:c>
      <x:c r="H49" s="12" t="str">
        <x:v>Alta</x:v>
      </x:c>
      <x:c r="I49" s="12" t="str">
        <x:v>Internacional</x:v>
      </x:c>
      <x:c r="J49" s="12" t="str">
        <x:v>Solicitar amostra ao fabricante/distribuidor</x:v>
      </x:c>
      <x:c r="K49" s="12" t="str">
        <x:v>A solicitar</x:v>
      </x:c>
      <x:c r="L49" s="12" t="str">
        <x:v>Referência localizada</x:v>
      </x:c>
      <x:c r="M49" s="12" t="str">
        <x:v>Candidata</x:v>
      </x:c>
      <x:c r="N49" s="12" t="str">
        <x:v>Operations</x:v>
      </x:c>
      <x:c r="O49" s="12" t="n">
        <x:v>1</x:v>
      </x:c>
      <x:c r="P49" s="12"/>
      <x:c r="Q49" s="12"/>
      <x:c r="R49" s="12"/>
      <x:c r="S49" s="12" t="str">
        <x:v>Não revisada</x:v>
      </x:c>
      <x:c r="T49" s="12" t="str">
        <x:v>Confirmar ficha técnica/ensaio e código exato antes da aceitação.</x:v>
      </x:c>
      <x:c r="U49" s="12" t="str">
        <x:v>dimension-revision:structure.family:v0.3</x:v>
      </x:c>
      <x:c r="V49" s="12" t="str">
        <x:v>concept-revision:structure.family.composite_structure:v0.3</x:v>
      </x:c>
      <x:c r="W49" s="12" t="str">
        <x:v>concept-revision:composite.type.laminated:v0.3</x:v>
      </x:c>
      <x:c r="X49" s="12" t="str">
        <x:v>lead_only_not_asserted</x:v>
      </x:c>
      <x:c r="Y49" s="12" t="str">
        <x:v>textile-sample:ops-tx-048</x:v>
      </x:c>
      <x:c r="Z49" s="12"/>
      <x:c r="AA49" s="12"/>
      <x:c r="AB49" s="12"/>
      <x:c r="AC49" s="12"/>
      <x:c r="AD49" s="12" t="str">
        <x:v>wave-1-ahlstrom-freudenberg</x:v>
      </x:c>
      <x:c r="AE49" s="12" t="str">
        <x:v>trilaminado não tecido</x:v>
      </x:c>
      <x:c r="AF49" s="67"/>
      <x:c r="AG49" s="12"/>
      <x:c r="AH49" s="12" t="str">
        <x:v>não informado</x:v>
      </x:c>
      <x:c r="AI49" s="12"/>
      <x:c r="AJ49" s="67"/>
      <x:c r="AK49" s="12"/>
      <x:c r="AL49" s="12"/>
      <x:c r="AM49" s="12" t="str">
        <x:v>Não identificado</x:v>
      </x:c>
      <x:c r="AN49" s="12" t="str">
        <x:v>Não identificada</x:v>
      </x:c>
      <x:c r="AO49" s="12" t="str">
        <x:v>not_calculable</x:v>
      </x:c>
      <x:c r="AP49" s="12" t="str">
        <x:v>E — desconhecido / referência ainda não validada</x:v>
      </x:c>
      <x:c r="AQ49" s="68" t="n">
        <x:v>16</x:v>
      </x:c>
      <x:c r="AR49" s="68" t="n">
        <x:v>20</x:v>
      </x:c>
      <x:c r="AS49" s="68" t="n">
        <x:v>0</x:v>
      </x:c>
      <x:c r="AT49" s="68" t="n">
        <x:v>0</x:v>
      </x:c>
      <x:c r="AU49" s="68" t="n">
        <x:v>0</x:v>
      </x:c>
      <x:c r="AV49" s="68" t="n">
        <x:v>36</x:v>
      </x:c>
      <x:c r="AW49" s="12" t="str">
        <x:v>Sim</x:v>
      </x:c>
      <x:c r="AX49" s="12" t="str">
        <x:v>composição percentual ausente; gramatura ausente; sem Evidence validada; geografia de produção não especificada; extrações automáticas exigem revisão humana</x:v>
      </x:c>
      <x:c r="AY49" s="12" t="str">
        <x:v>not_applicable</x:v>
      </x:c>
    </x:row>
    <x:row r="50">
      <x:c r="A50" s="12" t="str">
        <x:v>OPS-TX-049</x:v>
      </x:c>
      <x:c r="B50" s="12" t="str">
        <x:v>Ahlstrom</x:v>
      </x:c>
      <x:c r="C50" s="12" t="str">
        <x:v>Wallstar Satin 180</x:v>
      </x:c>
      <x:c r="D50" s="12" t="str">
        <x:v>nao_tecido</x:v>
      </x:c>
      <x:c r="E50" s="12" t="str">
        <x:v>não tecido para impressão 180 g/m²</x:v>
      </x:c>
      <x:c r="F50" s="12" t="str">
        <x:v>TDS público em PDF</x:v>
      </x:c>
      <x:c r="G50" s="12" t="str">
        <x:v>https://www.ahlstrom.com/globalassets/products/construction-and-furniture-materials/wallcover-and-wall-liner/wallstar-digital-tds---final-brochure-2020.pdf</x:v>
      </x:c>
      <x:c r="H50" s="12" t="str">
        <x:v>Alta</x:v>
      </x:c>
      <x:c r="I50" s="12" t="str">
        <x:v>Internacional</x:v>
      </x:c>
      <x:c r="J50" s="12" t="str">
        <x:v>Solicitar amostra ao fabricante/distribuidor</x:v>
      </x:c>
      <x:c r="K50" s="12" t="str">
        <x:v>A solicitar</x:v>
      </x:c>
      <x:c r="L50" s="12" t="str">
        <x:v>Referência localizada</x:v>
      </x:c>
      <x:c r="M50" s="12" t="str">
        <x:v>Candidata</x:v>
      </x:c>
      <x:c r="N50" s="12" t="str">
        <x:v>Operations</x:v>
      </x:c>
      <x:c r="O50" s="12" t="n">
        <x:v>1</x:v>
      </x:c>
      <x:c r="P50" s="12"/>
      <x:c r="Q50" s="12"/>
      <x:c r="R50" s="12"/>
      <x:c r="S50" s="12" t="str">
        <x:v>Não revisada</x:v>
      </x:c>
      <x:c r="T50" s="12" t="str">
        <x:v>Confirmar ficha técnica/ensaio e código exato antes da aceitação.</x:v>
      </x:c>
      <x:c r="U50" s="12" t="str">
        <x:v>dimension-revision:structure.family:v0.3</x:v>
      </x:c>
      <x:c r="V50" s="12" t="str">
        <x:v>concept-revision:structure.family.nonwoven:v0.3</x:v>
      </x:c>
      <x:c r="W50" s="12"/>
      <x:c r="X50" s="12" t="str">
        <x:v>lead_only_not_asserted</x:v>
      </x:c>
      <x:c r="Y50" s="12" t="str">
        <x:v>textile-sample:ops-tx-049</x:v>
      </x:c>
      <x:c r="Z50" s="12"/>
      <x:c r="AA50" s="12"/>
      <x:c r="AB50" s="12"/>
      <x:c r="AC50" s="12"/>
      <x:c r="AD50" s="12" t="str">
        <x:v>wave-1-ahlstrom-freudenberg</x:v>
      </x:c>
      <x:c r="AE50" s="12" t="str">
        <x:v>não tecido para impressão 180 g/m²</x:v>
      </x:c>
      <x:c r="AF50" s="67" t="n">
        <x:v>180</x:v>
      </x:c>
      <x:c r="AG50" s="12" t="str">
        <x:v>g/m²</x:v>
      </x:c>
      <x:c r="AH50" s="12" t="str">
        <x:v>não informado</x:v>
      </x:c>
      <x:c r="AI50" s="12"/>
      <x:c r="AJ50" s="67"/>
      <x:c r="AK50" s="12"/>
      <x:c r="AL50" s="12"/>
      <x:c r="AM50" s="12" t="str">
        <x:v>Não identificado</x:v>
      </x:c>
      <x:c r="AN50" s="12" t="str">
        <x:v>Não identificada</x:v>
      </x:c>
      <x:c r="AO50" s="12" t="str">
        <x:v>not_calculable</x:v>
      </x:c>
      <x:c r="AP50" s="12" t="str">
        <x:v>E — desconhecido / referência ainda não validada</x:v>
      </x:c>
      <x:c r="AQ50" s="68" t="n">
        <x:v>16</x:v>
      </x:c>
      <x:c r="AR50" s="68" t="n">
        <x:v>16</x:v>
      </x:c>
      <x:c r="AS50" s="68" t="n">
        <x:v>5</x:v>
      </x:c>
      <x:c r="AT50" s="68" t="n">
        <x:v>0</x:v>
      </x:c>
      <x:c r="AU50" s="68" t="n">
        <x:v>0</x:v>
      </x:c>
      <x:c r="AV50" s="68" t="n">
        <x:v>37</x:v>
      </x:c>
      <x:c r="AW50" s="12" t="str">
        <x:v>Sim</x:v>
      </x:c>
      <x:c r="AX50" s="12" t="str">
        <x:v>composição percentual ausente; sem Evidence validada; geografia de produção não especificada; extrações automáticas exigem revisão humana</x:v>
      </x:c>
      <x:c r="AY50" s="12" t="str">
        <x:v>not_applicable</x:v>
      </x:c>
    </x:row>
    <x:row r="51">
      <x:c r="A51" s="12" t="str">
        <x:v>OPS-TX-050</x:v>
      </x:c>
      <x:c r="B51" s="12" t="str">
        <x:v>Ahlstrom</x:v>
      </x:c>
      <x:c r="C51" s="12" t="str">
        <x:v>Wallstar Matte 147</x:v>
      </x:c>
      <x:c r="D51" s="12" t="str">
        <x:v>nao_tecido</x:v>
      </x:c>
      <x:c r="E51" s="12" t="str">
        <x:v>não tecido para impressão 147 g/m²</x:v>
      </x:c>
      <x:c r="F51" s="12" t="str">
        <x:v>TDS público em PDF</x:v>
      </x:c>
      <x:c r="G51" s="12" t="str">
        <x:v>https://www.ahlstrom.com/globalassets/products/construction-and-furniture-materials/wallcover-and-wall-liner/wallstar-digital-tds---final-brochure-2020.pdf</x:v>
      </x:c>
      <x:c r="H51" s="12" t="str">
        <x:v>Alta</x:v>
      </x:c>
      <x:c r="I51" s="12" t="str">
        <x:v>Internacional</x:v>
      </x:c>
      <x:c r="J51" s="12" t="str">
        <x:v>Solicitar amostra ao fabricante/distribuidor</x:v>
      </x:c>
      <x:c r="K51" s="12" t="str">
        <x:v>A solicitar</x:v>
      </x:c>
      <x:c r="L51" s="12" t="str">
        <x:v>Referência localizada</x:v>
      </x:c>
      <x:c r="M51" s="12" t="str">
        <x:v>Candidata</x:v>
      </x:c>
      <x:c r="N51" s="12" t="str">
        <x:v>Operations</x:v>
      </x:c>
      <x:c r="O51" s="12" t="n">
        <x:v>1</x:v>
      </x:c>
      <x:c r="P51" s="12"/>
      <x:c r="Q51" s="12"/>
      <x:c r="R51" s="12"/>
      <x:c r="S51" s="12" t="str">
        <x:v>Não revisada</x:v>
      </x:c>
      <x:c r="T51" s="12" t="str">
        <x:v>Confirmar ficha técnica/ensaio e código exato antes da aceitação.</x:v>
      </x:c>
      <x:c r="U51" s="12" t="str">
        <x:v>dimension-revision:structure.family:v0.3</x:v>
      </x:c>
      <x:c r="V51" s="12" t="str">
        <x:v>concept-revision:structure.family.nonwoven:v0.3</x:v>
      </x:c>
      <x:c r="W51" s="12"/>
      <x:c r="X51" s="12" t="str">
        <x:v>lead_only_not_asserted</x:v>
      </x:c>
      <x:c r="Y51" s="12" t="str">
        <x:v>textile-sample:ops-tx-050</x:v>
      </x:c>
      <x:c r="Z51" s="12"/>
      <x:c r="AA51" s="12"/>
      <x:c r="AB51" s="12"/>
      <x:c r="AC51" s="12"/>
      <x:c r="AD51" s="12" t="str">
        <x:v>wave-1-ahlstrom-freudenberg</x:v>
      </x:c>
      <x:c r="AE51" s="12" t="str">
        <x:v>não tecido para impressão 147 g/m²</x:v>
      </x:c>
      <x:c r="AF51" s="67" t="n">
        <x:v>147</x:v>
      </x:c>
      <x:c r="AG51" s="12" t="str">
        <x:v>g/m²</x:v>
      </x:c>
      <x:c r="AH51" s="12" t="str">
        <x:v>não informado</x:v>
      </x:c>
      <x:c r="AI51" s="12"/>
      <x:c r="AJ51" s="67"/>
      <x:c r="AK51" s="12"/>
      <x:c r="AL51" s="12"/>
      <x:c r="AM51" s="12" t="str">
        <x:v>Não identificado</x:v>
      </x:c>
      <x:c r="AN51" s="12" t="str">
        <x:v>Não identificada</x:v>
      </x:c>
      <x:c r="AO51" s="12" t="str">
        <x:v>not_calculable</x:v>
      </x:c>
      <x:c r="AP51" s="12" t="str">
        <x:v>E — desconhecido / referência ainda não validada</x:v>
      </x:c>
      <x:c r="AQ51" s="68" t="n">
        <x:v>16</x:v>
      </x:c>
      <x:c r="AR51" s="68" t="n">
        <x:v>16</x:v>
      </x:c>
      <x:c r="AS51" s="68" t="n">
        <x:v>5</x:v>
      </x:c>
      <x:c r="AT51" s="68" t="n">
        <x:v>0</x:v>
      </x:c>
      <x:c r="AU51" s="68" t="n">
        <x:v>0</x:v>
      </x:c>
      <x:c r="AV51" s="68" t="n">
        <x:v>37</x:v>
      </x:c>
      <x:c r="AW51" s="12" t="str">
        <x:v>Sim</x:v>
      </x:c>
      <x:c r="AX51" s="12" t="str">
        <x:v>composição percentual ausente; sem Evidence validada; geografia de produção não especificada; extrações automáticas exigem revisão humana</x:v>
      </x:c>
      <x:c r="AY51" s="12" t="str">
        <x:v>not_applicable</x:v>
      </x:c>
    </x:row>
    <x:row r="52">
      <x:c r="A52" s="12" t="str">
        <x:v>OPS-TX-051</x:v>
      </x:c>
      <x:c r="B52" s="12" t="str">
        <x:v>Ahlstrom</x:v>
      </x:c>
      <x:c r="C52" s="12" t="str">
        <x:v>Wallstar Fibrous 147</x:v>
      </x:c>
      <x:c r="D52" s="12" t="str">
        <x:v>nao_tecido</x:v>
      </x:c>
      <x:c r="E52" s="12" t="str">
        <x:v>não tecido fibroso 147 g/m²</x:v>
      </x:c>
      <x:c r="F52" s="12" t="str">
        <x:v>TDS público em PDF</x:v>
      </x:c>
      <x:c r="G52" s="12" t="str">
        <x:v>https://www.ahlstrom.com/globalassets/products/construction-and-furniture-materials/wallcover-and-wall-liner/wallstar-digital-tds---final-brochure-2020.pdf</x:v>
      </x:c>
      <x:c r="H52" s="12" t="str">
        <x:v>Alta</x:v>
      </x:c>
      <x:c r="I52" s="12" t="str">
        <x:v>Internacional</x:v>
      </x:c>
      <x:c r="J52" s="12" t="str">
        <x:v>Solicitar amostra ao fabricante/distribuidor</x:v>
      </x:c>
      <x:c r="K52" s="12" t="str">
        <x:v>A solicitar</x:v>
      </x:c>
      <x:c r="L52" s="12" t="str">
        <x:v>Referência localizada</x:v>
      </x:c>
      <x:c r="M52" s="12" t="str">
        <x:v>Candidata</x:v>
      </x:c>
      <x:c r="N52" s="12" t="str">
        <x:v>Operations</x:v>
      </x:c>
      <x:c r="O52" s="12" t="n">
        <x:v>1</x:v>
      </x:c>
      <x:c r="P52" s="12"/>
      <x:c r="Q52" s="12"/>
      <x:c r="R52" s="12"/>
      <x:c r="S52" s="12" t="str">
        <x:v>Não revisada</x:v>
      </x:c>
      <x:c r="T52" s="12" t="str">
        <x:v>Confirmar ficha técnica/ensaio e código exato antes da aceitação.</x:v>
      </x:c>
      <x:c r="U52" s="12" t="str">
        <x:v>dimension-revision:structure.family:v0.3</x:v>
      </x:c>
      <x:c r="V52" s="12" t="str">
        <x:v>concept-revision:structure.family.nonwoven:v0.3</x:v>
      </x:c>
      <x:c r="W52" s="12"/>
      <x:c r="X52" s="12" t="str">
        <x:v>lead_only_not_asserted</x:v>
      </x:c>
      <x:c r="Y52" s="12" t="str">
        <x:v>textile-sample:ops-tx-051</x:v>
      </x:c>
      <x:c r="Z52" s="12"/>
      <x:c r="AA52" s="12"/>
      <x:c r="AB52" s="12"/>
      <x:c r="AC52" s="12"/>
      <x:c r="AD52" s="12" t="str">
        <x:v>wave-1-ahlstrom-freudenberg</x:v>
      </x:c>
      <x:c r="AE52" s="12" t="str">
        <x:v>não tecido fibroso 147 g/m²</x:v>
      </x:c>
      <x:c r="AF52" s="67" t="n">
        <x:v>147</x:v>
      </x:c>
      <x:c r="AG52" s="12" t="str">
        <x:v>g/m²</x:v>
      </x:c>
      <x:c r="AH52" s="12" t="str">
        <x:v>não informado</x:v>
      </x:c>
      <x:c r="AI52" s="12"/>
      <x:c r="AJ52" s="67"/>
      <x:c r="AK52" s="12"/>
      <x:c r="AL52" s="12"/>
      <x:c r="AM52" s="12" t="str">
        <x:v>Não identificado</x:v>
      </x:c>
      <x:c r="AN52" s="12" t="str">
        <x:v>Não identificada</x:v>
      </x:c>
      <x:c r="AO52" s="12" t="str">
        <x:v>not_calculable</x:v>
      </x:c>
      <x:c r="AP52" s="12" t="str">
        <x:v>E — desconhecido / referência ainda não validada</x:v>
      </x:c>
      <x:c r="AQ52" s="68" t="n">
        <x:v>16</x:v>
      </x:c>
      <x:c r="AR52" s="68" t="n">
        <x:v>16</x:v>
      </x:c>
      <x:c r="AS52" s="68" t="n">
        <x:v>5</x:v>
      </x:c>
      <x:c r="AT52" s="68" t="n">
        <x:v>0</x:v>
      </x:c>
      <x:c r="AU52" s="68" t="n">
        <x:v>0</x:v>
      </x:c>
      <x:c r="AV52" s="68" t="n">
        <x:v>37</x:v>
      </x:c>
      <x:c r="AW52" s="12" t="str">
        <x:v>Sim</x:v>
      </x:c>
      <x:c r="AX52" s="12" t="str">
        <x:v>composição percentual ausente; sem Evidence validada; geografia de produção não especificada; extrações automáticas exigem revisão humana</x:v>
      </x:c>
      <x:c r="AY52" s="12" t="str">
        <x:v>not_applicable</x:v>
      </x:c>
    </x:row>
    <x:row r="53">
      <x:c r="A53" s="12" t="str">
        <x:v>OPS-TX-052</x:v>
      </x:c>
      <x:c r="B53" s="12" t="str">
        <x:v>Ahlstrom</x:v>
      </x:c>
      <x:c r="C53" s="12" t="str">
        <x:v>Medical Barrier Fabric</x:v>
      </x:c>
      <x:c r="D53" s="12" t="str">
        <x:v>nao_tecido</x:v>
      </x:c>
      <x:c r="E53" s="12" t="str">
        <x:v>substrato de barreira médica</x:v>
      </x:c>
      <x:c r="F53" s="12" t="str">
        <x:v>Página técnica oficial</x:v>
      </x:c>
      <x:c r="G53" s="12" t="str">
        <x:v>https://www.ahlstrom.com/products/medical-life-sciences-and-laboratory/</x:v>
      </x:c>
      <x:c r="H53" s="12" t="str">
        <x:v>Alta</x:v>
      </x:c>
      <x:c r="I53" s="12" t="str">
        <x:v>Internacional</x:v>
      </x:c>
      <x:c r="J53" s="12" t="str">
        <x:v>Solicitar amostra ao fabricante/distribuidor</x:v>
      </x:c>
      <x:c r="K53" s="12" t="str">
        <x:v>A solicitar</x:v>
      </x:c>
      <x:c r="L53" s="12" t="str">
        <x:v>Referência localizada</x:v>
      </x:c>
      <x:c r="M53" s="12" t="str">
        <x:v>Candidata</x:v>
      </x:c>
      <x:c r="N53" s="12" t="str">
        <x:v>Operations</x:v>
      </x:c>
      <x:c r="O53" s="12" t="n">
        <x:v>1</x:v>
      </x:c>
      <x:c r="P53" s="12"/>
      <x:c r="Q53" s="12"/>
      <x:c r="R53" s="12"/>
      <x:c r="S53" s="12" t="str">
        <x:v>Não revisada</x:v>
      </x:c>
      <x:c r="T53" s="12" t="str">
        <x:v>Confirmar ficha técnica/ensaio e código exato antes da aceitação.</x:v>
      </x:c>
      <x:c r="U53" s="12" t="str">
        <x:v>dimension-revision:structure.family:v0.3</x:v>
      </x:c>
      <x:c r="V53" s="12" t="str">
        <x:v>concept-revision:structure.family.nonwoven:v0.3</x:v>
      </x:c>
      <x:c r="W53" s="12"/>
      <x:c r="X53" s="12" t="str">
        <x:v>lead_only_not_asserted</x:v>
      </x:c>
      <x:c r="Y53" s="12" t="str">
        <x:v>textile-sample:ops-tx-052</x:v>
      </x:c>
      <x:c r="Z53" s="12"/>
      <x:c r="AA53" s="12"/>
      <x:c r="AB53" s="12"/>
      <x:c r="AC53" s="12"/>
      <x:c r="AD53" s="12" t="str">
        <x:v>wave-1-ahlstrom-freudenberg</x:v>
      </x:c>
      <x:c r="AE53" s="12" t="str">
        <x:v>substrato de barreira médica</x:v>
      </x:c>
      <x:c r="AF53" s="67"/>
      <x:c r="AG53" s="12"/>
      <x:c r="AH53" s="12" t="str">
        <x:v>não informado</x:v>
      </x:c>
      <x:c r="AI53" s="12"/>
      <x:c r="AJ53" s="67"/>
      <x:c r="AK53" s="12"/>
      <x:c r="AL53" s="12"/>
      <x:c r="AM53" s="12" t="str">
        <x:v>Não identificado</x:v>
      </x:c>
      <x:c r="AN53" s="12" t="str">
        <x:v>Não identificada</x:v>
      </x:c>
      <x:c r="AO53" s="12" t="str">
        <x:v>not_calculable</x:v>
      </x:c>
      <x:c r="AP53" s="12" t="str">
        <x:v>E — desconhecido / referência ainda não validada</x:v>
      </x:c>
      <x:c r="AQ53" s="68" t="n">
        <x:v>16</x:v>
      </x:c>
      <x:c r="AR53" s="68" t="n">
        <x:v>16</x:v>
      </x:c>
      <x:c r="AS53" s="68" t="n">
        <x:v>0</x:v>
      </x:c>
      <x:c r="AT53" s="68" t="n">
        <x:v>0</x:v>
      </x:c>
      <x:c r="AU53" s="68" t="n">
        <x:v>0</x:v>
      </x:c>
      <x:c r="AV53" s="68" t="n">
        <x:v>32</x:v>
      </x:c>
      <x:c r="AW53" s="12" t="str">
        <x:v>Sim</x:v>
      </x:c>
      <x:c r="AX53" s="12" t="str">
        <x:v>composição percentual ausente; gramatura ausente; sem Evidence validada; geografia de produção não especificada; extrações automáticas exigem revisão humana</x:v>
      </x:c>
      <x:c r="AY53" s="12" t="str">
        <x:v>not_applicable</x:v>
      </x:c>
    </x:row>
    <x:row r="54">
      <x:c r="A54" s="12" t="str">
        <x:v>OPS-TX-053</x:v>
      </x:c>
      <x:c r="B54" s="12" t="str">
        <x:v>Ahlstrom</x:v>
      </x:c>
      <x:c r="C54" s="12" t="str">
        <x:v>Sterilization Wrap</x:v>
      </x:c>
      <x:c r="D54" s="12" t="str">
        <x:v>nao_tecido</x:v>
      </x:c>
      <x:c r="E54" s="12" t="str">
        <x:v>não tecido para barreira estéril</x:v>
      </x:c>
      <x:c r="F54" s="12" t="str">
        <x:v>Página técnica oficial</x:v>
      </x:c>
      <x:c r="G54" s="12" t="str">
        <x:v>https://www.ahlstrom.com/products/medical-life-sciences-and-laboratory/</x:v>
      </x:c>
      <x:c r="H54" s="12" t="str">
        <x:v>Alta</x:v>
      </x:c>
      <x:c r="I54" s="12" t="str">
        <x:v>Internacional</x:v>
      </x:c>
      <x:c r="J54" s="12" t="str">
        <x:v>Solicitar amostra ao fabricante/distribuidor</x:v>
      </x:c>
      <x:c r="K54" s="12" t="str">
        <x:v>A solicitar</x:v>
      </x:c>
      <x:c r="L54" s="12" t="str">
        <x:v>Referência localizada</x:v>
      </x:c>
      <x:c r="M54" s="12" t="str">
        <x:v>Candidata</x:v>
      </x:c>
      <x:c r="N54" s="12" t="str">
        <x:v>Operations</x:v>
      </x:c>
      <x:c r="O54" s="12" t="n">
        <x:v>1</x:v>
      </x:c>
      <x:c r="P54" s="12"/>
      <x:c r="Q54" s="12"/>
      <x:c r="R54" s="12"/>
      <x:c r="S54" s="12" t="str">
        <x:v>Não revisada</x:v>
      </x:c>
      <x:c r="T54" s="12" t="str">
        <x:v>Confirmar ficha técnica/ensaio e código exato antes da aceitação.</x:v>
      </x:c>
      <x:c r="U54" s="12" t="str">
        <x:v>dimension-revision:structure.family:v0.3</x:v>
      </x:c>
      <x:c r="V54" s="12" t="str">
        <x:v>concept-revision:structure.family.nonwoven:v0.3</x:v>
      </x:c>
      <x:c r="W54" s="12"/>
      <x:c r="X54" s="12" t="str">
        <x:v>lead_only_not_asserted</x:v>
      </x:c>
      <x:c r="Y54" s="12" t="str">
        <x:v>textile-sample:ops-tx-053</x:v>
      </x:c>
      <x:c r="Z54" s="12"/>
      <x:c r="AA54" s="12"/>
      <x:c r="AB54" s="12"/>
      <x:c r="AC54" s="12"/>
      <x:c r="AD54" s="12" t="str">
        <x:v>wave-1-ahlstrom-freudenberg</x:v>
      </x:c>
      <x:c r="AE54" s="12" t="str">
        <x:v>não tecido para barreira estéril</x:v>
      </x:c>
      <x:c r="AF54" s="67"/>
      <x:c r="AG54" s="12"/>
      <x:c r="AH54" s="12" t="str">
        <x:v>não informado</x:v>
      </x:c>
      <x:c r="AI54" s="12"/>
      <x:c r="AJ54" s="67"/>
      <x:c r="AK54" s="12"/>
      <x:c r="AL54" s="12"/>
      <x:c r="AM54" s="12" t="str">
        <x:v>Não identificado</x:v>
      </x:c>
      <x:c r="AN54" s="12" t="str">
        <x:v>Não identificada</x:v>
      </x:c>
      <x:c r="AO54" s="12" t="str">
        <x:v>not_calculable</x:v>
      </x:c>
      <x:c r="AP54" s="12" t="str">
        <x:v>E — desconhecido / referência ainda não validada</x:v>
      </x:c>
      <x:c r="AQ54" s="68" t="n">
        <x:v>16</x:v>
      </x:c>
      <x:c r="AR54" s="68" t="n">
        <x:v>16</x:v>
      </x:c>
      <x:c r="AS54" s="68" t="n">
        <x:v>0</x:v>
      </x:c>
      <x:c r="AT54" s="68" t="n">
        <x:v>0</x:v>
      </x:c>
      <x:c r="AU54" s="68" t="n">
        <x:v>0</x:v>
      </x:c>
      <x:c r="AV54" s="68" t="n">
        <x:v>32</x:v>
      </x:c>
      <x:c r="AW54" s="12" t="str">
        <x:v>Sim</x:v>
      </x:c>
      <x:c r="AX54" s="12" t="str">
        <x:v>composição percentual ausente; gramatura ausente; sem Evidence validada; geografia de produção não especificada; extrações automáticas exigem revisão humana</x:v>
      </x:c>
      <x:c r="AY54" s="12" t="str">
        <x:v>not_applicable</x:v>
      </x:c>
    </x:row>
    <x:row r="55">
      <x:c r="A55" s="12" t="str">
        <x:v>OPS-TX-054</x:v>
      </x:c>
      <x:c r="B55" s="12" t="str">
        <x:v>Ahlstrom</x:v>
      </x:c>
      <x:c r="C55" s="12" t="str">
        <x:v>Wound Care Nonwoven</x:v>
      </x:c>
      <x:c r="D55" s="12" t="str">
        <x:v>nao_tecido</x:v>
      </x:c>
      <x:c r="E55" s="12" t="str">
        <x:v>não tecido para curativos</x:v>
      </x:c>
      <x:c r="F55" s="12" t="str">
        <x:v>Página técnica oficial</x:v>
      </x:c>
      <x:c r="G55" s="12" t="str">
        <x:v>https://www.ahlstrom.com/products/medical-life-sciences-and-laboratory/pharmaceuticals-and-personal-hygiene/wound-care/</x:v>
      </x:c>
      <x:c r="H55" s="12" t="str">
        <x:v>Alta</x:v>
      </x:c>
      <x:c r="I55" s="12" t="str">
        <x:v>Internacional</x:v>
      </x:c>
      <x:c r="J55" s="12" t="str">
        <x:v>Solicitar amostra ao fabricante/distribuidor</x:v>
      </x:c>
      <x:c r="K55" s="12" t="str">
        <x:v>A solicitar</x:v>
      </x:c>
      <x:c r="L55" s="12" t="str">
        <x:v>Referência localizada</x:v>
      </x:c>
      <x:c r="M55" s="12" t="str">
        <x:v>Candidata</x:v>
      </x:c>
      <x:c r="N55" s="12" t="str">
        <x:v>Operations</x:v>
      </x:c>
      <x:c r="O55" s="12" t="n">
        <x:v>1</x:v>
      </x:c>
      <x:c r="P55" s="12"/>
      <x:c r="Q55" s="12"/>
      <x:c r="R55" s="12"/>
      <x:c r="S55" s="12" t="str">
        <x:v>Não revisada</x:v>
      </x:c>
      <x:c r="T55" s="12" t="str">
        <x:v>Confirmar ficha técnica/ensaio e código exato antes da aceitação.</x:v>
      </x:c>
      <x:c r="U55" s="12" t="str">
        <x:v>dimension-revision:structure.family:v0.3</x:v>
      </x:c>
      <x:c r="V55" s="12" t="str">
        <x:v>concept-revision:structure.family.nonwoven:v0.3</x:v>
      </x:c>
      <x:c r="W55" s="12"/>
      <x:c r="X55" s="12" t="str">
        <x:v>lead_only_not_asserted</x:v>
      </x:c>
      <x:c r="Y55" s="12" t="str">
        <x:v>textile-sample:ops-tx-054</x:v>
      </x:c>
      <x:c r="Z55" s="12"/>
      <x:c r="AA55" s="12"/>
      <x:c r="AB55" s="12"/>
      <x:c r="AC55" s="12"/>
      <x:c r="AD55" s="12" t="str">
        <x:v>wave-1-ahlstrom-freudenberg</x:v>
      </x:c>
      <x:c r="AE55" s="12" t="str">
        <x:v>não tecido para curativos</x:v>
      </x:c>
      <x:c r="AF55" s="67"/>
      <x:c r="AG55" s="12"/>
      <x:c r="AH55" s="12" t="str">
        <x:v>não informado</x:v>
      </x:c>
      <x:c r="AI55" s="12"/>
      <x:c r="AJ55" s="67"/>
      <x:c r="AK55" s="12"/>
      <x:c r="AL55" s="12"/>
      <x:c r="AM55" s="12" t="str">
        <x:v>Não identificado</x:v>
      </x:c>
      <x:c r="AN55" s="12" t="str">
        <x:v>Não identificada</x:v>
      </x:c>
      <x:c r="AO55" s="12" t="str">
        <x:v>not_calculable</x:v>
      </x:c>
      <x:c r="AP55" s="12" t="str">
        <x:v>E — desconhecido / referência ainda não validada</x:v>
      </x:c>
      <x:c r="AQ55" s="68" t="n">
        <x:v>16</x:v>
      </x:c>
      <x:c r="AR55" s="68" t="n">
        <x:v>16</x:v>
      </x:c>
      <x:c r="AS55" s="68" t="n">
        <x:v>0</x:v>
      </x:c>
      <x:c r="AT55" s="68" t="n">
        <x:v>0</x:v>
      </x:c>
      <x:c r="AU55" s="68" t="n">
        <x:v>0</x:v>
      </x:c>
      <x:c r="AV55" s="68" t="n">
        <x:v>32</x:v>
      </x:c>
      <x:c r="AW55" s="12" t="str">
        <x:v>Sim</x:v>
      </x:c>
      <x:c r="AX55" s="12" t="str">
        <x:v>composição percentual ausente; gramatura ausente; sem Evidence validada; geografia de produção não especificada; extrações automáticas exigem revisão humana</x:v>
      </x:c>
      <x:c r="AY55" s="12" t="str">
        <x:v>not_applicable</x:v>
      </x:c>
    </x:row>
    <x:row r="56">
      <x:c r="A56" s="12" t="str">
        <x:v>OPS-TX-055</x:v>
      </x:c>
      <x:c r="B56" s="12" t="str">
        <x:v>Ahlstrom</x:v>
      </x:c>
      <x:c r="C56" s="12" t="str">
        <x:v>Face Mask Material</x:v>
      </x:c>
      <x:c r="D56" s="12" t="str">
        <x:v>nao_tecido</x:v>
      </x:c>
      <x:c r="E56" s="12" t="str">
        <x:v>substrato para máscaras</x:v>
      </x:c>
      <x:c r="F56" s="12" t="str">
        <x:v>Página técnica oficial</x:v>
      </x:c>
      <x:c r="G56" s="12" t="str">
        <x:v>https://www.ahlstrom.com/products/medical-life-sciences-and-laboratory/</x:v>
      </x:c>
      <x:c r="H56" s="12" t="str">
        <x:v>Alta</x:v>
      </x:c>
      <x:c r="I56" s="12" t="str">
        <x:v>Internacional</x:v>
      </x:c>
      <x:c r="J56" s="12" t="str">
        <x:v>Solicitar amostra ao fabricante/distribuidor</x:v>
      </x:c>
      <x:c r="K56" s="12" t="str">
        <x:v>A solicitar</x:v>
      </x:c>
      <x:c r="L56" s="12" t="str">
        <x:v>Referência localizada</x:v>
      </x:c>
      <x:c r="M56" s="12" t="str">
        <x:v>Candidata</x:v>
      </x:c>
      <x:c r="N56" s="12" t="str">
        <x:v>Operations</x:v>
      </x:c>
      <x:c r="O56" s="12" t="n">
        <x:v>1</x:v>
      </x:c>
      <x:c r="P56" s="12"/>
      <x:c r="Q56" s="12"/>
      <x:c r="R56" s="12"/>
      <x:c r="S56" s="12" t="str">
        <x:v>Não revisada</x:v>
      </x:c>
      <x:c r="T56" s="12" t="str">
        <x:v>Confirmar ficha técnica/ensaio e código exato antes da aceitação.</x:v>
      </x:c>
      <x:c r="U56" s="12" t="str">
        <x:v>dimension-revision:structure.family:v0.3</x:v>
      </x:c>
      <x:c r="V56" s="12" t="str">
        <x:v>concept-revision:structure.family.nonwoven:v0.3</x:v>
      </x:c>
      <x:c r="W56" s="12"/>
      <x:c r="X56" s="12" t="str">
        <x:v>lead_only_not_asserted</x:v>
      </x:c>
      <x:c r="Y56" s="12" t="str">
        <x:v>textile-sample:ops-tx-055</x:v>
      </x:c>
      <x:c r="Z56" s="12"/>
      <x:c r="AA56" s="12"/>
      <x:c r="AB56" s="12"/>
      <x:c r="AC56" s="12"/>
      <x:c r="AD56" s="12" t="str">
        <x:v>wave-1-ahlstrom-freudenberg</x:v>
      </x:c>
      <x:c r="AE56" s="12" t="str">
        <x:v>substrato para máscaras</x:v>
      </x:c>
      <x:c r="AF56" s="67"/>
      <x:c r="AG56" s="12"/>
      <x:c r="AH56" s="12" t="str">
        <x:v>não informado</x:v>
      </x:c>
      <x:c r="AI56" s="12"/>
      <x:c r="AJ56" s="67"/>
      <x:c r="AK56" s="12"/>
      <x:c r="AL56" s="12"/>
      <x:c r="AM56" s="12" t="str">
        <x:v>Não identificado</x:v>
      </x:c>
      <x:c r="AN56" s="12" t="str">
        <x:v>Não identificada</x:v>
      </x:c>
      <x:c r="AO56" s="12" t="str">
        <x:v>not_calculable</x:v>
      </x:c>
      <x:c r="AP56" s="12" t="str">
        <x:v>E — desconhecido / referência ainda não validada</x:v>
      </x:c>
      <x:c r="AQ56" s="68" t="n">
        <x:v>16</x:v>
      </x:c>
      <x:c r="AR56" s="68" t="n">
        <x:v>16</x:v>
      </x:c>
      <x:c r="AS56" s="68" t="n">
        <x:v>0</x:v>
      </x:c>
      <x:c r="AT56" s="68" t="n">
        <x:v>0</x:v>
      </x:c>
      <x:c r="AU56" s="68" t="n">
        <x:v>0</x:v>
      </x:c>
      <x:c r="AV56" s="68" t="n">
        <x:v>32</x:v>
      </x:c>
      <x:c r="AW56" s="12" t="str">
        <x:v>Sim</x:v>
      </x:c>
      <x:c r="AX56" s="12" t="str">
        <x:v>composição percentual ausente; gramatura ausente; sem Evidence validada; geografia de produção não especificada; extrações automáticas exigem revisão humana</x:v>
      </x:c>
      <x:c r="AY56" s="12" t="str">
        <x:v>not_applicable</x:v>
      </x:c>
    </x:row>
    <x:row r="57">
      <x:c r="A57" s="12" t="str">
        <x:v>OPS-TX-056</x:v>
      </x:c>
      <x:c r="B57" s="12" t="str">
        <x:v>Carrington Textiles</x:v>
      </x:c>
      <x:c r="C57" s="12" t="str">
        <x:v>Flameshield 230</x:v>
      </x:c>
      <x:c r="D57" s="12" t="str">
        <x:v>tecido_plano</x:v>
      </x:c>
      <x:c r="E57" s="12" t="str">
        <x:v>tecido plano FR 230 g/m²</x:v>
      </x:c>
      <x:c r="F57" s="12" t="str">
        <x:v>Página técnica/certificação oficial; TDS disponível para membros ou sob solicitação</x:v>
      </x:c>
      <x:c r="G57" s="12" t="str">
        <x:v>https://www.carrington.co.uk/en/media/newsroom/flame-retardant-ru-marked-fabrics/</x:v>
      </x:c>
      <x:c r="H57" s="12" t="str">
        <x:v>Alta</x:v>
      </x:c>
      <x:c r="I57" s="12" t="str">
        <x:v>Internacional</x:v>
      </x:c>
      <x:c r="J57" s="12" t="str">
        <x:v>Solicitar amostra ao fabricante/distribuidor</x:v>
      </x:c>
      <x:c r="K57" s="12" t="str">
        <x:v>A solicitar</x:v>
      </x:c>
      <x:c r="L57" s="12" t="str">
        <x:v>Referência localizada</x:v>
      </x:c>
      <x:c r="M57" s="12" t="str">
        <x:v>Candidata</x:v>
      </x:c>
      <x:c r="N57" s="12" t="str">
        <x:v>Operations</x:v>
      </x:c>
      <x:c r="O57" s="12" t="n">
        <x:v>1</x:v>
      </x:c>
      <x:c r="P57" s="12"/>
      <x:c r="Q57" s="12"/>
      <x:c r="R57" s="12"/>
      <x:c r="S57" s="12" t="str">
        <x:v>Não revisada</x:v>
      </x:c>
      <x:c r="T57" s="12" t="str">
        <x:v>Confirmar ficha técnica/ensaio e código exato antes da aceitação.</x:v>
      </x:c>
      <x:c r="U57" s="12" t="str">
        <x:v>dimension-revision:structure.family:v0.3</x:v>
      </x:c>
      <x:c r="V57" s="12" t="str">
        <x:v>concept-revision:structure.family.woven_fabric:v0.3</x:v>
      </x:c>
      <x:c r="W57" s="12"/>
      <x:c r="X57" s="12" t="str">
        <x:v>lead_only_not_asserted</x:v>
      </x:c>
      <x:c r="Y57" s="12" t="str">
        <x:v>textile-sample:ops-tx-056</x:v>
      </x:c>
      <x:c r="Z57" s="12"/>
      <x:c r="AA57" s="12"/>
      <x:c r="AB57" s="12"/>
      <x:c r="AC57" s="12"/>
      <x:c r="AD57" s="12" t="str">
        <x:v>wave-1-carrington</x:v>
      </x:c>
      <x:c r="AE57" s="12" t="str">
        <x:v>tecido plano FR 230 g/m²</x:v>
      </x:c>
      <x:c r="AF57" s="67" t="n">
        <x:v>230</x:v>
      </x:c>
      <x:c r="AG57" s="12" t="str">
        <x:v>g/m²</x:v>
      </x:c>
      <x:c r="AH57" s="12" t="str">
        <x:v>não informado</x:v>
      </x:c>
      <x:c r="AI57" s="12"/>
      <x:c r="AJ57" s="67"/>
      <x:c r="AK57" s="12"/>
      <x:c r="AL57" s="12"/>
      <x:c r="AM57" s="12" t="str">
        <x:v>Não identificado</x:v>
      </x:c>
      <x:c r="AN57" s="12" t="str">
        <x:v>Sim</x:v>
      </x:c>
      <x:c r="AO57" s="12" t="str">
        <x:v>not_calculable</x:v>
      </x:c>
      <x:c r="AP57" s="12" t="str">
        <x:v>E — desconhecido / referência ainda não validada</x:v>
      </x:c>
      <x:c r="AQ57" s="68" t="n">
        <x:v>16</x:v>
      </x:c>
      <x:c r="AR57" s="68" t="n">
        <x:v>16</x:v>
      </x:c>
      <x:c r="AS57" s="68" t="n">
        <x:v>5</x:v>
      </x:c>
      <x:c r="AT57" s="68" t="n">
        <x:v>0</x:v>
      </x:c>
      <x:c r="AU57" s="68" t="n">
        <x:v>0</x:v>
      </x:c>
      <x:c r="AV57" s="68" t="n">
        <x:v>37</x:v>
      </x:c>
      <x:c r="AW57" s="12" t="str">
        <x:v>Sim</x:v>
      </x:c>
      <x:c r="AX57" s="12" t="str">
        <x:v>composição percentual ausente; sem Evidence validada; geografia de produção não especificada; extrações automáticas exigem revisão humana</x:v>
      </x:c>
      <x:c r="AY57" s="12" t="str">
        <x:v>not_applicable</x:v>
      </x:c>
    </x:row>
    <x:row r="58">
      <x:c r="A58" s="12" t="str">
        <x:v>OPS-TX-057</x:v>
      </x:c>
      <x:c r="B58" s="12" t="str">
        <x:v>Carrington Textiles</x:v>
      </x:c>
      <x:c r="C58" s="12" t="str">
        <x:v>Flameshield 280</x:v>
      </x:c>
      <x:c r="D58" s="12" t="str">
        <x:v>tecido_plano</x:v>
      </x:c>
      <x:c r="E58" s="12" t="str">
        <x:v>tecido plano FR 280 g/m²</x:v>
      </x:c>
      <x:c r="F58" s="12" t="str">
        <x:v>Página técnica/certificação oficial; TDS disponível para membros ou sob solicitação</x:v>
      </x:c>
      <x:c r="G58" s="12" t="str">
        <x:v>https://www.carrington.co.uk/en/media/newsroom/flame-retardant-ru-marked-fabrics/</x:v>
      </x:c>
      <x:c r="H58" s="12" t="str">
        <x:v>Alta</x:v>
      </x:c>
      <x:c r="I58" s="12" t="str">
        <x:v>Internacional</x:v>
      </x:c>
      <x:c r="J58" s="12" t="str">
        <x:v>Solicitar amostra ao fabricante/distribuidor</x:v>
      </x:c>
      <x:c r="K58" s="12" t="str">
        <x:v>A solicitar</x:v>
      </x:c>
      <x:c r="L58" s="12" t="str">
        <x:v>Referência localizada</x:v>
      </x:c>
      <x:c r="M58" s="12" t="str">
        <x:v>Candidata</x:v>
      </x:c>
      <x:c r="N58" s="12" t="str">
        <x:v>Operations</x:v>
      </x:c>
      <x:c r="O58" s="12" t="n">
        <x:v>1</x:v>
      </x:c>
      <x:c r="P58" s="12"/>
      <x:c r="Q58" s="12"/>
      <x:c r="R58" s="12"/>
      <x:c r="S58" s="12" t="str">
        <x:v>Não revisada</x:v>
      </x:c>
      <x:c r="T58" s="12" t="str">
        <x:v>Confirmar ficha técnica/ensaio e código exato antes da aceitação.</x:v>
      </x:c>
      <x:c r="U58" s="12" t="str">
        <x:v>dimension-revision:structure.family:v0.3</x:v>
      </x:c>
      <x:c r="V58" s="12" t="str">
        <x:v>concept-revision:structure.family.woven_fabric:v0.3</x:v>
      </x:c>
      <x:c r="W58" s="12"/>
      <x:c r="X58" s="12" t="str">
        <x:v>lead_only_not_asserted</x:v>
      </x:c>
      <x:c r="Y58" s="12" t="str">
        <x:v>textile-sample:ops-tx-057</x:v>
      </x:c>
      <x:c r="Z58" s="12"/>
      <x:c r="AA58" s="12"/>
      <x:c r="AB58" s="12"/>
      <x:c r="AC58" s="12"/>
      <x:c r="AD58" s="12" t="str">
        <x:v>wave-1-carrington</x:v>
      </x:c>
      <x:c r="AE58" s="12" t="str">
        <x:v>tecido plano FR 280 g/m²</x:v>
      </x:c>
      <x:c r="AF58" s="67" t="n">
        <x:v>280</x:v>
      </x:c>
      <x:c r="AG58" s="12" t="str">
        <x:v>g/m²</x:v>
      </x:c>
      <x:c r="AH58" s="12" t="str">
        <x:v>não informado</x:v>
      </x:c>
      <x:c r="AI58" s="12"/>
      <x:c r="AJ58" s="67"/>
      <x:c r="AK58" s="12"/>
      <x:c r="AL58" s="12"/>
      <x:c r="AM58" s="12" t="str">
        <x:v>Não identificado</x:v>
      </x:c>
      <x:c r="AN58" s="12" t="str">
        <x:v>Sim</x:v>
      </x:c>
      <x:c r="AO58" s="12" t="str">
        <x:v>not_calculable</x:v>
      </x:c>
      <x:c r="AP58" s="12" t="str">
        <x:v>E — desconhecido / referência ainda não validada</x:v>
      </x:c>
      <x:c r="AQ58" s="68" t="n">
        <x:v>16</x:v>
      </x:c>
      <x:c r="AR58" s="68" t="n">
        <x:v>16</x:v>
      </x:c>
      <x:c r="AS58" s="68" t="n">
        <x:v>5</x:v>
      </x:c>
      <x:c r="AT58" s="68" t="n">
        <x:v>0</x:v>
      </x:c>
      <x:c r="AU58" s="68" t="n">
        <x:v>0</x:v>
      </x:c>
      <x:c r="AV58" s="68" t="n">
        <x:v>37</x:v>
      </x:c>
      <x:c r="AW58" s="12" t="str">
        <x:v>Sim</x:v>
      </x:c>
      <x:c r="AX58" s="12" t="str">
        <x:v>composição percentual ausente; sem Evidence validada; geografia de produção não especificada; extrações automáticas exigem revisão humana</x:v>
      </x:c>
      <x:c r="AY58" s="12" t="str">
        <x:v>not_applicable</x:v>
      </x:c>
    </x:row>
    <x:row r="59">
      <x:c r="A59" s="12" t="str">
        <x:v>OPS-TX-058</x:v>
      </x:c>
      <x:c r="B59" s="12" t="str">
        <x:v>Carrington Textiles</x:v>
      </x:c>
      <x:c r="C59" s="12" t="str">
        <x:v>Flametuff 220AS</x:v>
      </x:c>
      <x:c r="D59" s="12" t="str">
        <x:v>tecido_plano</x:v>
      </x:c>
      <x:c r="E59" s="12" t="str">
        <x:v>tecido plano FR/antistático</x:v>
      </x:c>
      <x:c r="F59" s="12" t="str">
        <x:v>Página técnica/certificação oficial; TDS disponível para membros ou sob solicitação</x:v>
      </x:c>
      <x:c r="G59" s="12" t="str">
        <x:v>https://www.carrington.co.uk/en/media/newsroom/flame-retardant-ru-marked-fabrics/</x:v>
      </x:c>
      <x:c r="H59" s="12" t="str">
        <x:v>Alta</x:v>
      </x:c>
      <x:c r="I59" s="12" t="str">
        <x:v>Internacional</x:v>
      </x:c>
      <x:c r="J59" s="12" t="str">
        <x:v>Solicitar amostra ao fabricante/distribuidor</x:v>
      </x:c>
      <x:c r="K59" s="12" t="str">
        <x:v>A solicitar</x:v>
      </x:c>
      <x:c r="L59" s="12" t="str">
        <x:v>Referência localizada</x:v>
      </x:c>
      <x:c r="M59" s="12" t="str">
        <x:v>Candidata</x:v>
      </x:c>
      <x:c r="N59" s="12" t="str">
        <x:v>Operations</x:v>
      </x:c>
      <x:c r="O59" s="12" t="n">
        <x:v>1</x:v>
      </x:c>
      <x:c r="P59" s="12"/>
      <x:c r="Q59" s="12"/>
      <x:c r="R59" s="12"/>
      <x:c r="S59" s="12" t="str">
        <x:v>Não revisada</x:v>
      </x:c>
      <x:c r="T59" s="12" t="str">
        <x:v>Confirmar ficha técnica/ensaio e código exato antes da aceitação.</x:v>
      </x:c>
      <x:c r="U59" s="12" t="str">
        <x:v>dimension-revision:structure.family:v0.3</x:v>
      </x:c>
      <x:c r="V59" s="12" t="str">
        <x:v>concept-revision:structure.family.woven_fabric:v0.3</x:v>
      </x:c>
      <x:c r="W59" s="12"/>
      <x:c r="X59" s="12" t="str">
        <x:v>lead_only_not_asserted</x:v>
      </x:c>
      <x:c r="Y59" s="12" t="str">
        <x:v>textile-sample:ops-tx-058</x:v>
      </x:c>
      <x:c r="Z59" s="12"/>
      <x:c r="AA59" s="12"/>
      <x:c r="AB59" s="12"/>
      <x:c r="AC59" s="12"/>
      <x:c r="AD59" s="12" t="str">
        <x:v>wave-1-carrington</x:v>
      </x:c>
      <x:c r="AE59" s="12" t="str">
        <x:v>tecido plano FR/antistático</x:v>
      </x:c>
      <x:c r="AF59" s="67"/>
      <x:c r="AG59" s="12"/>
      <x:c r="AH59" s="12" t="str">
        <x:v>não informado</x:v>
      </x:c>
      <x:c r="AI59" s="12"/>
      <x:c r="AJ59" s="67"/>
      <x:c r="AK59" s="12"/>
      <x:c r="AL59" s="12"/>
      <x:c r="AM59" s="12" t="str">
        <x:v>Não identificado</x:v>
      </x:c>
      <x:c r="AN59" s="12" t="str">
        <x:v>Sim</x:v>
      </x:c>
      <x:c r="AO59" s="12" t="str">
        <x:v>not_calculable</x:v>
      </x:c>
      <x:c r="AP59" s="12" t="str">
        <x:v>E — desconhecido / referência ainda não validada</x:v>
      </x:c>
      <x:c r="AQ59" s="68" t="n">
        <x:v>16</x:v>
      </x:c>
      <x:c r="AR59" s="68" t="n">
        <x:v>16</x:v>
      </x:c>
      <x:c r="AS59" s="68" t="n">
        <x:v>0</x:v>
      </x:c>
      <x:c r="AT59" s="68" t="n">
        <x:v>0</x:v>
      </x:c>
      <x:c r="AU59" s="68" t="n">
        <x:v>0</x:v>
      </x:c>
      <x:c r="AV59" s="68" t="n">
        <x:v>32</x:v>
      </x:c>
      <x:c r="AW59" s="12" t="str">
        <x:v>Sim</x:v>
      </x:c>
      <x:c r="AX59" s="12" t="str">
        <x:v>composição percentual ausente; gramatura ausente; sem Evidence validada; geografia de produção não especificada; extrações automáticas exigem revisão humana</x:v>
      </x:c>
      <x:c r="AY59" s="12" t="str">
        <x:v>not_applicable</x:v>
      </x:c>
    </x:row>
    <x:row r="60">
      <x:c r="A60" s="12" t="str">
        <x:v>OPS-TX-059</x:v>
      </x:c>
      <x:c r="B60" s="12" t="str">
        <x:v>Carrington Textiles</x:v>
      </x:c>
      <x:c r="C60" s="12" t="str">
        <x:v>Satin 330AS</x:v>
      </x:c>
      <x:c r="D60" s="12" t="str">
        <x:v>tecido_plano</x:v>
      </x:c>
      <x:c r="E60" s="12" t="str">
        <x:v>cetim FR/antistático</x:v>
      </x:c>
      <x:c r="F60" s="12" t="str">
        <x:v>Página técnica/certificação oficial; TDS disponível para membros ou sob solicitação</x:v>
      </x:c>
      <x:c r="G60" s="12" t="str">
        <x:v>https://www.carrington.co.uk/en/media/newsroom/flame-retardant-ru-marked-fabrics/</x:v>
      </x:c>
      <x:c r="H60" s="12" t="str">
        <x:v>Alta</x:v>
      </x:c>
      <x:c r="I60" s="12" t="str">
        <x:v>Internacional</x:v>
      </x:c>
      <x:c r="J60" s="12" t="str">
        <x:v>Solicitar amostra ao fabricante/distribuidor</x:v>
      </x:c>
      <x:c r="K60" s="12" t="str">
        <x:v>A solicitar</x:v>
      </x:c>
      <x:c r="L60" s="12" t="str">
        <x:v>Referência localizada</x:v>
      </x:c>
      <x:c r="M60" s="12" t="str">
        <x:v>Candidata</x:v>
      </x:c>
      <x:c r="N60" s="12" t="str">
        <x:v>Operations</x:v>
      </x:c>
      <x:c r="O60" s="12" t="n">
        <x:v>1</x:v>
      </x:c>
      <x:c r="P60" s="12"/>
      <x:c r="Q60" s="12"/>
      <x:c r="R60" s="12"/>
      <x:c r="S60" s="12" t="str">
        <x:v>Não revisada</x:v>
      </x:c>
      <x:c r="T60" s="12" t="str">
        <x:v>Confirmar ficha técnica/ensaio e código exato antes da aceitação.</x:v>
      </x:c>
      <x:c r="U60" s="12" t="str">
        <x:v>dimension-revision:structure.family:v0.3</x:v>
      </x:c>
      <x:c r="V60" s="12" t="str">
        <x:v>concept-revision:structure.family.woven_fabric:v0.3</x:v>
      </x:c>
      <x:c r="W60" s="12" t="str">
        <x:v>concept-revision:construction.primary.satin:v0.3</x:v>
      </x:c>
      <x:c r="X60" s="12" t="str">
        <x:v>lead_only_not_asserted</x:v>
      </x:c>
      <x:c r="Y60" s="12" t="str">
        <x:v>textile-sample:ops-tx-059</x:v>
      </x:c>
      <x:c r="Z60" s="12"/>
      <x:c r="AA60" s="12"/>
      <x:c r="AB60" s="12"/>
      <x:c r="AC60" s="12"/>
      <x:c r="AD60" s="12" t="str">
        <x:v>wave-1-carrington</x:v>
      </x:c>
      <x:c r="AE60" s="12" t="str">
        <x:v>cetim FR/antistático</x:v>
      </x:c>
      <x:c r="AF60" s="67"/>
      <x:c r="AG60" s="12"/>
      <x:c r="AH60" s="12" t="str">
        <x:v>não informado</x:v>
      </x:c>
      <x:c r="AI60" s="12"/>
      <x:c r="AJ60" s="67"/>
      <x:c r="AK60" s="12"/>
      <x:c r="AL60" s="12"/>
      <x:c r="AM60" s="12" t="str">
        <x:v>Não identificado</x:v>
      </x:c>
      <x:c r="AN60" s="12" t="str">
        <x:v>Sim</x:v>
      </x:c>
      <x:c r="AO60" s="12" t="str">
        <x:v>not_calculable</x:v>
      </x:c>
      <x:c r="AP60" s="12" t="str">
        <x:v>E — desconhecido / referência ainda não validada</x:v>
      </x:c>
      <x:c r="AQ60" s="68" t="n">
        <x:v>16</x:v>
      </x:c>
      <x:c r="AR60" s="68" t="n">
        <x:v>20</x:v>
      </x:c>
      <x:c r="AS60" s="68" t="n">
        <x:v>0</x:v>
      </x:c>
      <x:c r="AT60" s="68" t="n">
        <x:v>0</x:v>
      </x:c>
      <x:c r="AU60" s="68" t="n">
        <x:v>0</x:v>
      </x:c>
      <x:c r="AV60" s="68" t="n">
        <x:v>36</x:v>
      </x:c>
      <x:c r="AW60" s="12" t="str">
        <x:v>Sim</x:v>
      </x:c>
      <x:c r="AX60" s="12" t="str">
        <x:v>composição percentual ausente; gramatura ausente; sem Evidence validada; geografia de produção não especificada; extrações automáticas exigem revisão humana</x:v>
      </x:c>
      <x:c r="AY60" s="12" t="str">
        <x:v>not_applicable</x:v>
      </x:c>
    </x:row>
    <x:row r="61">
      <x:c r="A61" s="12" t="str">
        <x:v>OPS-TX-060</x:v>
      </x:c>
      <x:c r="B61" s="12" t="str">
        <x:v>Carrington Textiles</x:v>
      </x:c>
      <x:c r="C61" s="12" t="str">
        <x:v>Spartan HT Flex Lite</x:v>
      </x:c>
      <x:c r="D61" s="12" t="str">
        <x:v>tecido_plano</x:v>
      </x:c>
      <x:c r="E61" s="12" t="str">
        <x:v>ripstop elástico 195 g/m²</x:v>
      </x:c>
      <x:c r="F61" s="12" t="str">
        <x:v>Página técnica/certificação oficial; TDS disponível para membros ou sob solicitação</x:v>
      </x:c>
      <x:c r="G61" s="12" t="str">
        <x:v>https://www.carrington.co.uk/en/media/newsroom/carrington-stretch-military-fabric/</x:v>
      </x:c>
      <x:c r="H61" s="12" t="str">
        <x:v>Alta</x:v>
      </x:c>
      <x:c r="I61" s="12" t="str">
        <x:v>Internacional</x:v>
      </x:c>
      <x:c r="J61" s="12" t="str">
        <x:v>Solicitar amostra ao fabricante/distribuidor</x:v>
      </x:c>
      <x:c r="K61" s="12" t="str">
        <x:v>A solicitar</x:v>
      </x:c>
      <x:c r="L61" s="12" t="str">
        <x:v>Referência localizada</x:v>
      </x:c>
      <x:c r="M61" s="12" t="str">
        <x:v>Candidata</x:v>
      </x:c>
      <x:c r="N61" s="12" t="str">
        <x:v>Operations</x:v>
      </x:c>
      <x:c r="O61" s="12" t="n">
        <x:v>1</x:v>
      </x:c>
      <x:c r="P61" s="12"/>
      <x:c r="Q61" s="12"/>
      <x:c r="R61" s="12"/>
      <x:c r="S61" s="12" t="str">
        <x:v>Não revisada</x:v>
      </x:c>
      <x:c r="T61" s="12" t="str">
        <x:v>Confirmar ficha técnica/ensaio e código exato antes da aceitação.</x:v>
      </x:c>
      <x:c r="U61" s="12" t="str">
        <x:v>dimension-revision:structure.family:v0.3</x:v>
      </x:c>
      <x:c r="V61" s="12" t="str">
        <x:v>concept-revision:structure.family.woven_fabric:v0.3</x:v>
      </x:c>
      <x:c r="W61" s="12" t="str">
        <x:v>concept-revision:patterning.special_construction.ripstop:v0.3</x:v>
      </x:c>
      <x:c r="X61" s="12" t="str">
        <x:v>lead_only_not_asserted</x:v>
      </x:c>
      <x:c r="Y61" s="12" t="str">
        <x:v>textile-sample:ops-tx-060</x:v>
      </x:c>
      <x:c r="Z61" s="12"/>
      <x:c r="AA61" s="12"/>
      <x:c r="AB61" s="12"/>
      <x:c r="AC61" s="12"/>
      <x:c r="AD61" s="12" t="str">
        <x:v>wave-1-carrington</x:v>
      </x:c>
      <x:c r="AE61" s="12" t="str">
        <x:v>ripstop elástico 195 g/m²</x:v>
      </x:c>
      <x:c r="AF61" s="67" t="n">
        <x:v>195</x:v>
      </x:c>
      <x:c r="AG61" s="12" t="str">
        <x:v>g/m²</x:v>
      </x:c>
      <x:c r="AH61" s="12" t="str">
        <x:v>não informado</x:v>
      </x:c>
      <x:c r="AI61" s="12"/>
      <x:c r="AJ61" s="67"/>
      <x:c r="AK61" s="12"/>
      <x:c r="AL61" s="12"/>
      <x:c r="AM61" s="12" t="str">
        <x:v>Não identificado</x:v>
      </x:c>
      <x:c r="AN61" s="12" t="str">
        <x:v>Sim</x:v>
      </x:c>
      <x:c r="AO61" s="12" t="str">
        <x:v>not_calculable</x:v>
      </x:c>
      <x:c r="AP61" s="12" t="str">
        <x:v>E — desconhecido / referência ainda não validada</x:v>
      </x:c>
      <x:c r="AQ61" s="68" t="n">
        <x:v>16</x:v>
      </x:c>
      <x:c r="AR61" s="68" t="n">
        <x:v>20</x:v>
      </x:c>
      <x:c r="AS61" s="68" t="n">
        <x:v>5</x:v>
      </x:c>
      <x:c r="AT61" s="68" t="n">
        <x:v>0</x:v>
      </x:c>
      <x:c r="AU61" s="68" t="n">
        <x:v>0</x:v>
      </x:c>
      <x:c r="AV61" s="68" t="n">
        <x:v>41</x:v>
      </x:c>
      <x:c r="AW61" s="12" t="str">
        <x:v>Sim</x:v>
      </x:c>
      <x:c r="AX61" s="12" t="str">
        <x:v>composição percentual ausente; sem Evidence validada; geografia de produção não especificada; extrações automáticas exigem revisão humana</x:v>
      </x:c>
      <x:c r="AY61" s="12" t="str">
        <x:v>not_applicable</x:v>
      </x:c>
    </x:row>
    <x:row r="62">
      <x:c r="A62" s="12" t="str">
        <x:v>OPS-TX-061</x:v>
      </x:c>
      <x:c r="B62" s="12" t="str">
        <x:v>Cedro Têxtil</x:v>
      </x:c>
      <x:c r="C62" s="12" t="str">
        <x:v>CEDRO RIP STOP SUPER</x:v>
      </x:c>
      <x:c r="D62" s="12" t="str">
        <x:v>tecido_plano</x:v>
      </x:c>
      <x:c r="E62" s="12" t="str">
        <x:v>tela 1x1 ripstop; 210 g/m²; 30% CO / 70% PES</x:v>
      </x:c>
      <x:c r="F62" s="12" t="str">
        <x:v>Ficha técnica pública na página oficial</x:v>
      </x:c>
      <x:c r="G62" s="12" t="str">
        <x:v>https://workwear.cedro.com.br/linhas/linha-security/</x:v>
      </x:c>
      <x:c r="H62" s="12" t="str">
        <x:v>Alta</x:v>
      </x:c>
      <x:c r="I62" s="12" t="str">
        <x:v>Brasil</x:v>
      </x:c>
      <x:c r="J62" s="12" t="str">
        <x:v>Contatar representante regional e solicitar retalho identificado</x:v>
      </x:c>
      <x:c r="K62" s="12" t="str">
        <x:v>A solicitar</x:v>
      </x:c>
      <x:c r="L62" s="12" t="str">
        <x:v>Referência localizada</x:v>
      </x:c>
      <x:c r="M62" s="12" t="str">
        <x:v>Candidata</x:v>
      </x:c>
      <x:c r="N62" s="12" t="str">
        <x:v>Operations</x:v>
      </x:c>
      <x:c r="O62" s="12" t="n">
        <x:v>1</x:v>
      </x:c>
      <x:c r="P62" s="12"/>
      <x:c r="Q62" s="12"/>
      <x:c r="R62" s="12"/>
      <x:c r="S62" s="12" t="str">
        <x:v>Não revisada</x:v>
      </x:c>
      <x:c r="T62" s="12" t="str">
        <x:v>Priorizar aquisição nacional. Conferir se a ficha vigente corresponde ao lote recebido.</x:v>
      </x:c>
      <x:c r="U62" s="12" t="str">
        <x:v>dimension-revision:structure.family:v0.3</x:v>
      </x:c>
      <x:c r="V62" s="12" t="str">
        <x:v>concept-revision:structure.family.woven_fabric:v0.3</x:v>
      </x:c>
      <x:c r="W62" s="12" t="str">
        <x:v>concept-revision:construction.primary.plain_weave:v0.3; concept-revision:patterning.special_construction.ripstop:v0.3</x:v>
      </x:c>
      <x:c r="X62" s="12" t="str">
        <x:v>lead_only_not_asserted</x:v>
      </x:c>
      <x:c r="Y62" s="12" t="str">
        <x:v>textile-sample:ops-tx-061</x:v>
      </x:c>
      <x:c r="Z62" s="12"/>
      <x:c r="AA62" s="12"/>
      <x:c r="AB62" s="12"/>
      <x:c r="AC62" s="12"/>
      <x:c r="AD62" s="12" t="str">
        <x:v>wave-1-cedro</x:v>
      </x:c>
      <x:c r="AE62" s="12" t="str">
        <x:v>tela 1x1 ripstop; 210 g/m²; 30% CO / 70% PES</x:v>
      </x:c>
      <x:c r="AF62" s="67" t="n">
        <x:v>210</x:v>
      </x:c>
      <x:c r="AG62" s="12" t="str">
        <x:v>g/m²</x:v>
      </x:c>
      <x:c r="AH62" s="12" t="str">
        <x:v>percentual extraído — revisão pendente</x:v>
      </x:c>
      <x:c r="AI62" s="12" t="str">
        <x:v>[{"fiber": "algodão", "percentage": 30.0}, {"fiber": "poliéster", "percentage": 70.0}]</x:v>
      </x:c>
      <x:c r="AJ62" s="67" t="n">
        <x:v>100</x:v>
      </x:c>
      <x:c r="AK62" s="12" t="str">
        <x:v>Sim</x:v>
      </x:c>
      <x:c r="AL62" s="12"/>
      <x:c r="AM62" s="12" t="str">
        <x:v>Não identificado</x:v>
      </x:c>
      <x:c r="AN62" s="12" t="str">
        <x:v>Não identificada</x:v>
      </x:c>
      <x:c r="AO62" s="12" t="str">
        <x:v>material_estimate_only</x:v>
      </x:c>
      <x:c r="AP62" s="12" t="str">
        <x:v>E — desconhecido / referência ainda não validada</x:v>
      </x:c>
      <x:c r="AQ62" s="68" t="n">
        <x:v>16</x:v>
      </x:c>
      <x:c r="AR62" s="68" t="n">
        <x:v>20</x:v>
      </x:c>
      <x:c r="AS62" s="68" t="n">
        <x:v>15</x:v>
      </x:c>
      <x:c r="AT62" s="68" t="n">
        <x:v>2</x:v>
      </x:c>
      <x:c r="AU62" s="68" t="n">
        <x:v>0</x:v>
      </x:c>
      <x:c r="AV62" s="68" t="n">
        <x:v>53</x:v>
      </x:c>
      <x:c r="AW62" s="12" t="str">
        <x:v>Sim</x:v>
      </x:c>
      <x:c r="AX62" s="12" t="str">
        <x:v>sem Evidence validada; extrações automáticas exigem revisão humana; status provisório: não autoriza cálculo oficial nem alegação ambiental; composição e gramatura aguardam revisão humana e evidência correspondente</x:v>
      </x:c>
      <x:c r="AY62" s="12" t="str">
        <x:v>pending_human_review</x:v>
      </x:c>
    </x:row>
    <x:row r="63">
      <x:c r="A63" s="12" t="str">
        <x:v>OPS-TX-062</x:v>
      </x:c>
      <x:c r="B63" s="12" t="str">
        <x:v>Cedro Têxtil</x:v>
      </x:c>
      <x:c r="C63" s="12" t="str">
        <x:v>CEDROCONFORT RIP STOP II</x:v>
      </x:c>
      <x:c r="D63" s="12" t="str">
        <x:v>tecido_plano</x:v>
      </x:c>
      <x:c r="E63" s="12" t="str">
        <x:v>tela 1x1 ripstop; 235 g/m²; 67% CO / 33% PES</x:v>
      </x:c>
      <x:c r="F63" s="12" t="str">
        <x:v>Ficha técnica pública na página oficial</x:v>
      </x:c>
      <x:c r="G63" s="12" t="str">
        <x:v>https://workwear.cedro.com.br/linhas/linha-security/</x:v>
      </x:c>
      <x:c r="H63" s="12" t="str">
        <x:v>Alta</x:v>
      </x:c>
      <x:c r="I63" s="12" t="str">
        <x:v>Brasil</x:v>
      </x:c>
      <x:c r="J63" s="12" t="str">
        <x:v>Contatar representante regional e solicitar retalho identificado</x:v>
      </x:c>
      <x:c r="K63" s="12" t="str">
        <x:v>A solicitar</x:v>
      </x:c>
      <x:c r="L63" s="12" t="str">
        <x:v>Referência localizada</x:v>
      </x:c>
      <x:c r="M63" s="12" t="str">
        <x:v>Candidata</x:v>
      </x:c>
      <x:c r="N63" s="12" t="str">
        <x:v>Operations</x:v>
      </x:c>
      <x:c r="O63" s="12" t="n">
        <x:v>1</x:v>
      </x:c>
      <x:c r="P63" s="12"/>
      <x:c r="Q63" s="12"/>
      <x:c r="R63" s="12"/>
      <x:c r="S63" s="12" t="str">
        <x:v>Não revisada</x:v>
      </x:c>
      <x:c r="T63" s="12" t="str">
        <x:v>Priorizar aquisição nacional. Conferir se a ficha vigente corresponde ao lote recebido.</x:v>
      </x:c>
      <x:c r="U63" s="12" t="str">
        <x:v>dimension-revision:structure.family:v0.3</x:v>
      </x:c>
      <x:c r="V63" s="12" t="str">
        <x:v>concept-revision:structure.family.woven_fabric:v0.3</x:v>
      </x:c>
      <x:c r="W63" s="12" t="str">
        <x:v>concept-revision:construction.primary.plain_weave:v0.3; concept-revision:patterning.special_construction.ripstop:v0.3</x:v>
      </x:c>
      <x:c r="X63" s="12" t="str">
        <x:v>lead_only_not_asserted</x:v>
      </x:c>
      <x:c r="Y63" s="12" t="str">
        <x:v>textile-sample:ops-tx-062</x:v>
      </x:c>
      <x:c r="Z63" s="12"/>
      <x:c r="AA63" s="12"/>
      <x:c r="AB63" s="12"/>
      <x:c r="AC63" s="12"/>
      <x:c r="AD63" s="12" t="str">
        <x:v>wave-1-cedro</x:v>
      </x:c>
      <x:c r="AE63" s="12" t="str">
        <x:v>tela 1x1 ripstop; 235 g/m²; 67% CO / 33% PES</x:v>
      </x:c>
      <x:c r="AF63" s="67" t="n">
        <x:v>235</x:v>
      </x:c>
      <x:c r="AG63" s="12" t="str">
        <x:v>g/m²</x:v>
      </x:c>
      <x:c r="AH63" s="12" t="str">
        <x:v>percentual extraído — revisão pendente</x:v>
      </x:c>
      <x:c r="AI63" s="12" t="str">
        <x:v>[{"fiber": "algodão", "percentage": 67.0}, {"fiber": "poliéster", "percentage": 33.0}]</x:v>
      </x:c>
      <x:c r="AJ63" s="67" t="n">
        <x:v>100</x:v>
      </x:c>
      <x:c r="AK63" s="12" t="str">
        <x:v>Sim</x:v>
      </x:c>
      <x:c r="AL63" s="12"/>
      <x:c r="AM63" s="12" t="str">
        <x:v>Não identificado</x:v>
      </x:c>
      <x:c r="AN63" s="12" t="str">
        <x:v>Não identificada</x:v>
      </x:c>
      <x:c r="AO63" s="12" t="str">
        <x:v>material_estimate_only</x:v>
      </x:c>
      <x:c r="AP63" s="12" t="str">
        <x:v>E — desconhecido / referência ainda não validada</x:v>
      </x:c>
      <x:c r="AQ63" s="68" t="n">
        <x:v>16</x:v>
      </x:c>
      <x:c r="AR63" s="68" t="n">
        <x:v>20</x:v>
      </x:c>
      <x:c r="AS63" s="68" t="n">
        <x:v>15</x:v>
      </x:c>
      <x:c r="AT63" s="68" t="n">
        <x:v>2</x:v>
      </x:c>
      <x:c r="AU63" s="68" t="n">
        <x:v>0</x:v>
      </x:c>
      <x:c r="AV63" s="68" t="n">
        <x:v>53</x:v>
      </x:c>
      <x:c r="AW63" s="12" t="str">
        <x:v>Sim</x:v>
      </x:c>
      <x:c r="AX63" s="12" t="str">
        <x:v>sem Evidence validada; extrações automáticas exigem revisão humana; status provisório: não autoriza cálculo oficial nem alegação ambiental; composição e gramatura aguardam revisão humana e evidência correspondente</x:v>
      </x:c>
      <x:c r="AY63" s="12" t="str">
        <x:v>pending_human_review</x:v>
      </x:c>
    </x:row>
    <x:row r="64">
      <x:c r="A64" s="12" t="str">
        <x:v>OPS-TX-063</x:v>
      </x:c>
      <x:c r="B64" s="12" t="str">
        <x:v>Cedro Têxtil</x:v>
      </x:c>
      <x:c r="C64" s="12" t="str">
        <x:v>FLEX RIP STOP MAIS</x:v>
      </x:c>
      <x:c r="D64" s="12" t="str">
        <x:v>tecido_plano</x:v>
      </x:c>
      <x:c r="E64" s="12" t="str">
        <x:v>sarja 3x1 ripstop; 235 g/m²; CO/PES/EME</x:v>
      </x:c>
      <x:c r="F64" s="12" t="str">
        <x:v>Ficha técnica pública na página oficial</x:v>
      </x:c>
      <x:c r="G64" s="12" t="str">
        <x:v>https://workwear.cedro.com.br/linhas/linha-security/</x:v>
      </x:c>
      <x:c r="H64" s="12" t="str">
        <x:v>Alta</x:v>
      </x:c>
      <x:c r="I64" s="12" t="str">
        <x:v>Brasil</x:v>
      </x:c>
      <x:c r="J64" s="12" t="str">
        <x:v>Contatar representante regional e solicitar retalho identificado</x:v>
      </x:c>
      <x:c r="K64" s="12" t="str">
        <x:v>A solicitar</x:v>
      </x:c>
      <x:c r="L64" s="12" t="str">
        <x:v>Referência localizada</x:v>
      </x:c>
      <x:c r="M64" s="12" t="str">
        <x:v>Candidata</x:v>
      </x:c>
      <x:c r="N64" s="12" t="str">
        <x:v>Operations</x:v>
      </x:c>
      <x:c r="O64" s="12" t="n">
        <x:v>1</x:v>
      </x:c>
      <x:c r="P64" s="12"/>
      <x:c r="Q64" s="12"/>
      <x:c r="R64" s="12"/>
      <x:c r="S64" s="12" t="str">
        <x:v>Não revisada</x:v>
      </x:c>
      <x:c r="T64" s="12" t="str">
        <x:v>Priorizar aquisição nacional. Conferir se a ficha vigente corresponde ao lote recebido.</x:v>
      </x:c>
      <x:c r="U64" s="12" t="str">
        <x:v>dimension-revision:structure.family:v0.3</x:v>
      </x:c>
      <x:c r="V64" s="12" t="str">
        <x:v>concept-revision:structure.family.woven_fabric:v0.3</x:v>
      </x:c>
      <x:c r="W64" s="12" t="str">
        <x:v>concept-revision:construction.primary.twill:v0.3; concept-revision:patterning.special_construction.ripstop:v0.3</x:v>
      </x:c>
      <x:c r="X64" s="12" t="str">
        <x:v>lead_only_not_asserted</x:v>
      </x:c>
      <x:c r="Y64" s="12" t="str">
        <x:v>textile-sample:ops-tx-063</x:v>
      </x:c>
      <x:c r="Z64" s="12"/>
      <x:c r="AA64" s="12"/>
      <x:c r="AB64" s="12"/>
      <x:c r="AC64" s="12"/>
      <x:c r="AD64" s="12" t="str">
        <x:v>wave-1-cedro</x:v>
      </x:c>
      <x:c r="AE64" s="12" t="str">
        <x:v>sarja 3x1 ripstop; 235 g/m²; CO/PES/EME</x:v>
      </x:c>
      <x:c r="AF64" s="67" t="n">
        <x:v>235</x:v>
      </x:c>
      <x:c r="AG64" s="12" t="str">
        <x:v>g/m²</x:v>
      </x:c>
      <x:c r="AH64" s="12" t="str">
        <x:v>não informado</x:v>
      </x:c>
      <x:c r="AI64" s="12"/>
      <x:c r="AJ64" s="67"/>
      <x:c r="AK64" s="12"/>
      <x:c r="AL64" s="12"/>
      <x:c r="AM64" s="12" t="str">
        <x:v>Não identificado</x:v>
      </x:c>
      <x:c r="AN64" s="12" t="str">
        <x:v>Não identificada</x:v>
      </x:c>
      <x:c r="AO64" s="12" t="str">
        <x:v>not_calculable</x:v>
      </x:c>
      <x:c r="AP64" s="12" t="str">
        <x:v>E — desconhecido / referência ainda não validada</x:v>
      </x:c>
      <x:c r="AQ64" s="68" t="n">
        <x:v>16</x:v>
      </x:c>
      <x:c r="AR64" s="68" t="n">
        <x:v>20</x:v>
      </x:c>
      <x:c r="AS64" s="68" t="n">
        <x:v>5</x:v>
      </x:c>
      <x:c r="AT64" s="68" t="n">
        <x:v>2</x:v>
      </x:c>
      <x:c r="AU64" s="68" t="n">
        <x:v>0</x:v>
      </x:c>
      <x:c r="AV64" s="68" t="n">
        <x:v>43</x:v>
      </x:c>
      <x:c r="AW64" s="12" t="str">
        <x:v>Sim</x:v>
      </x:c>
      <x:c r="AX64" s="12" t="str">
        <x:v>composição percentual ausente; sem Evidence validada; extrações automáticas exigem revisão humana</x:v>
      </x:c>
      <x:c r="AY64" s="12" t="str">
        <x:v>not_applicable</x:v>
      </x:c>
    </x:row>
    <x:row r="65">
      <x:c r="A65" s="12" t="str">
        <x:v>OPS-TX-064</x:v>
      </x:c>
      <x:c r="B65" s="12" t="str">
        <x:v>Cedro Têxtil</x:v>
      </x:c>
      <x:c r="C65" s="12" t="str">
        <x:v>POLYCOTTONCEDRO SUPER II</x:v>
      </x:c>
      <x:c r="D65" s="12" t="str">
        <x:v>tecido_plano</x:v>
      </x:c>
      <x:c r="E65" s="12" t="str">
        <x:v>sarja 2x1; 221 g/m²; 33% CO / 67% PES</x:v>
      </x:c>
      <x:c r="F65" s="12" t="str">
        <x:v>Ficha técnica pública na página oficial</x:v>
      </x:c>
      <x:c r="G65" s="12" t="str">
        <x:v>https://workwear.cedro.com.br/linhas/linha-security/</x:v>
      </x:c>
      <x:c r="H65" s="12" t="str">
        <x:v>Alta</x:v>
      </x:c>
      <x:c r="I65" s="12" t="str">
        <x:v>Brasil</x:v>
      </x:c>
      <x:c r="J65" s="12" t="str">
        <x:v>Contatar representante regional e solicitar retalho identificado</x:v>
      </x:c>
      <x:c r="K65" s="12" t="str">
        <x:v>A solicitar</x:v>
      </x:c>
      <x:c r="L65" s="12" t="str">
        <x:v>Referência localizada</x:v>
      </x:c>
      <x:c r="M65" s="12" t="str">
        <x:v>Candidata</x:v>
      </x:c>
      <x:c r="N65" s="12" t="str">
        <x:v>Operations</x:v>
      </x:c>
      <x:c r="O65" s="12" t="n">
        <x:v>1</x:v>
      </x:c>
      <x:c r="P65" s="12"/>
      <x:c r="Q65" s="12"/>
      <x:c r="R65" s="12"/>
      <x:c r="S65" s="12" t="str">
        <x:v>Não revisada</x:v>
      </x:c>
      <x:c r="T65" s="12" t="str">
        <x:v>Priorizar aquisição nacional. Conferir se a ficha vigente corresponde ao lote recebido.</x:v>
      </x:c>
      <x:c r="U65" s="12" t="str">
        <x:v>dimension-revision:structure.family:v0.3</x:v>
      </x:c>
      <x:c r="V65" s="12" t="str">
        <x:v>concept-revision:structure.family.woven_fabric:v0.3</x:v>
      </x:c>
      <x:c r="W65" s="12" t="str">
        <x:v>concept-revision:construction.primary.twill:v0.3</x:v>
      </x:c>
      <x:c r="X65" s="12" t="str">
        <x:v>lead_only_not_asserted</x:v>
      </x:c>
      <x:c r="Y65" s="12" t="str">
        <x:v>textile-sample:ops-tx-064</x:v>
      </x:c>
      <x:c r="Z65" s="12"/>
      <x:c r="AA65" s="12"/>
      <x:c r="AB65" s="12"/>
      <x:c r="AC65" s="12"/>
      <x:c r="AD65" s="12" t="str">
        <x:v>wave-1-cedro</x:v>
      </x:c>
      <x:c r="AE65" s="12" t="str">
        <x:v>sarja 2x1; 221 g/m²; 33% CO / 67% PES</x:v>
      </x:c>
      <x:c r="AF65" s="67" t="n">
        <x:v>221</x:v>
      </x:c>
      <x:c r="AG65" s="12" t="str">
        <x:v>g/m²</x:v>
      </x:c>
      <x:c r="AH65" s="12" t="str">
        <x:v>percentual extraído — revisão pendente</x:v>
      </x:c>
      <x:c r="AI65" s="12" t="str">
        <x:v>[{"fiber": "algodão", "percentage": 33.0}, {"fiber": "poliéster", "percentage": 67.0}]</x:v>
      </x:c>
      <x:c r="AJ65" s="67" t="n">
        <x:v>100</x:v>
      </x:c>
      <x:c r="AK65" s="12" t="str">
        <x:v>Sim</x:v>
      </x:c>
      <x:c r="AL65" s="12"/>
      <x:c r="AM65" s="12" t="str">
        <x:v>Não identificado</x:v>
      </x:c>
      <x:c r="AN65" s="12" t="str">
        <x:v>Não identificada</x:v>
      </x:c>
      <x:c r="AO65" s="12" t="str">
        <x:v>material_estimate_only</x:v>
      </x:c>
      <x:c r="AP65" s="12" t="str">
        <x:v>E — desconhecido / referência ainda não validada</x:v>
      </x:c>
      <x:c r="AQ65" s="68" t="n">
        <x:v>16</x:v>
      </x:c>
      <x:c r="AR65" s="68" t="n">
        <x:v>20</x:v>
      </x:c>
      <x:c r="AS65" s="68" t="n">
        <x:v>15</x:v>
      </x:c>
      <x:c r="AT65" s="68" t="n">
        <x:v>2</x:v>
      </x:c>
      <x:c r="AU65" s="68" t="n">
        <x:v>0</x:v>
      </x:c>
      <x:c r="AV65" s="68" t="n">
        <x:v>53</x:v>
      </x:c>
      <x:c r="AW65" s="12" t="str">
        <x:v>Sim</x:v>
      </x:c>
      <x:c r="AX65" s="12" t="str">
        <x:v>sem Evidence validada; extrações automáticas exigem revisão humana; status provisório: não autoriza cálculo oficial nem alegação ambiental; composição e gramatura aguardam revisão humana e evidência correspondente</x:v>
      </x:c>
      <x:c r="AY65" s="12" t="str">
        <x:v>pending_human_review</x:v>
      </x:c>
    </x:row>
    <x:row r="66">
      <x:c r="A66" s="12" t="str">
        <x:v>OPS-TX-065</x:v>
      </x:c>
      <x:c r="B66" s="12" t="str">
        <x:v>Cedro Têxtil</x:v>
      </x:c>
      <x:c r="C66" s="12" t="str">
        <x:v>Kazan Plus</x:v>
      </x:c>
      <x:c r="D66" s="12" t="str">
        <x:v>tecido_plano</x:v>
      </x:c>
      <x:c r="E66" s="12" t="str">
        <x:v>sarja 3x1 Z; 350 g/m²; 98% CO / 2% PUE</x:v>
      </x:c>
      <x:c r="F66" s="12" t="str">
        <x:v>Ficha técnica pública na página oficial</x:v>
      </x:c>
      <x:c r="G66" s="12" t="str">
        <x:v>https://jeanswear.cedro.com.br/produto/elastic/denim-elastic/kazan-plus/</x:v>
      </x:c>
      <x:c r="H66" s="12" t="str">
        <x:v>Alta</x:v>
      </x:c>
      <x:c r="I66" s="12" t="str">
        <x:v>Brasil</x:v>
      </x:c>
      <x:c r="J66" s="12" t="str">
        <x:v>Contatar representante regional e solicitar retalho identificado</x:v>
      </x:c>
      <x:c r="K66" s="12" t="str">
        <x:v>A solicitar</x:v>
      </x:c>
      <x:c r="L66" s="12" t="str">
        <x:v>Referência localizada</x:v>
      </x:c>
      <x:c r="M66" s="12" t="str">
        <x:v>Candidata</x:v>
      </x:c>
      <x:c r="N66" s="12" t="str">
        <x:v>Operations</x:v>
      </x:c>
      <x:c r="O66" s="12" t="n">
        <x:v>1</x:v>
      </x:c>
      <x:c r="P66" s="12"/>
      <x:c r="Q66" s="12"/>
      <x:c r="R66" s="12"/>
      <x:c r="S66" s="12" t="str">
        <x:v>Não revisada</x:v>
      </x:c>
      <x:c r="T66" s="12" t="str">
        <x:v>Priorizar aquisição nacional. Conferir se a ficha vigente corresponde ao lote recebido.</x:v>
      </x:c>
      <x:c r="U66" s="12" t="str">
        <x:v>dimension-revision:structure.family:v0.3</x:v>
      </x:c>
      <x:c r="V66" s="12" t="str">
        <x:v>concept-revision:structure.family.woven_fabric:v0.3</x:v>
      </x:c>
      <x:c r="W66" s="12" t="str">
        <x:v>concept-revision:construction.primary.twill:v0.3</x:v>
      </x:c>
      <x:c r="X66" s="12" t="str">
        <x:v>lead_only_not_asserted</x:v>
      </x:c>
      <x:c r="Y66" s="12" t="str">
        <x:v>textile-sample:ops-tx-065</x:v>
      </x:c>
      <x:c r="Z66" s="12"/>
      <x:c r="AA66" s="12"/>
      <x:c r="AB66" s="12"/>
      <x:c r="AC66" s="12"/>
      <x:c r="AD66" s="12" t="str">
        <x:v>wave-1-cedro</x:v>
      </x:c>
      <x:c r="AE66" s="12" t="str">
        <x:v>sarja 3x1 Z; 350 g/m²; 98% CO / 2% PUE</x:v>
      </x:c>
      <x:c r="AF66" s="67" t="n">
        <x:v>350</x:v>
      </x:c>
      <x:c r="AG66" s="12" t="str">
        <x:v>g/m²</x:v>
      </x:c>
      <x:c r="AH66" s="12" t="str">
        <x:v>percentual extraído — revisão pendente</x:v>
      </x:c>
      <x:c r="AI66" s="12" t="str">
        <x:v>[{"fiber": "algodão", "percentage": 98.0}, {"fiber": "elastano", "percentage": 2.0}]</x:v>
      </x:c>
      <x:c r="AJ66" s="67" t="n">
        <x:v>100</x:v>
      </x:c>
      <x:c r="AK66" s="12" t="str">
        <x:v>Sim</x:v>
      </x:c>
      <x:c r="AL66" s="12"/>
      <x:c r="AM66" s="12" t="str">
        <x:v>Não identificado</x:v>
      </x:c>
      <x:c r="AN66" s="12" t="str">
        <x:v>Não identificada</x:v>
      </x:c>
      <x:c r="AO66" s="12" t="str">
        <x:v>material_estimate_only</x:v>
      </x:c>
      <x:c r="AP66" s="12" t="str">
        <x:v>E — desconhecido / referência ainda não validada</x:v>
      </x:c>
      <x:c r="AQ66" s="68" t="n">
        <x:v>16</x:v>
      </x:c>
      <x:c r="AR66" s="68" t="n">
        <x:v>20</x:v>
      </x:c>
      <x:c r="AS66" s="68" t="n">
        <x:v>15</x:v>
      </x:c>
      <x:c r="AT66" s="68" t="n">
        <x:v>2</x:v>
      </x:c>
      <x:c r="AU66" s="68" t="n">
        <x:v>0</x:v>
      </x:c>
      <x:c r="AV66" s="68" t="n">
        <x:v>53</x:v>
      </x:c>
      <x:c r="AW66" s="12" t="str">
        <x:v>Sim</x:v>
      </x:c>
      <x:c r="AX66" s="12" t="str">
        <x:v>sem Evidence validada; extrações automáticas exigem revisão humana; status provisório: não autoriza cálculo oficial nem alegação ambiental; composição e gramatura aguardam revisão humana e evidência correspondente</x:v>
      </x:c>
      <x:c r="AY66" s="12" t="str">
        <x:v>pending_human_review</x:v>
      </x:c>
    </x:row>
    <x:row r="67">
      <x:c r="A67" s="12" t="str">
        <x:v>OPS-TX-066</x:v>
      </x:c>
      <x:c r="B67" s="12" t="str">
        <x:v>Cedro Têxtil</x:v>
      </x:c>
      <x:c r="C67" s="12" t="str">
        <x:v>Colorado Stretch</x:v>
      </x:c>
      <x:c r="D67" s="12" t="str">
        <x:v>tecido_plano</x:v>
      </x:c>
      <x:c r="E67" s="12" t="str">
        <x:v>sarja 3x1 Z; 306 g/m²; 98% CO / 2% PUE</x:v>
      </x:c>
      <x:c r="F67" s="12" t="str">
        <x:v>Ficha técnica pública na página oficial</x:v>
      </x:c>
      <x:c r="G67" s="12" t="str">
        <x:v>https://jeanswear.cedro.com.br/produto/elastic/denim-elastic/colorado-stretch/</x:v>
      </x:c>
      <x:c r="H67" s="12" t="str">
        <x:v>Alta</x:v>
      </x:c>
      <x:c r="I67" s="12" t="str">
        <x:v>Brasil</x:v>
      </x:c>
      <x:c r="J67" s="12" t="str">
        <x:v>Contatar representante regional e solicitar retalho identificado</x:v>
      </x:c>
      <x:c r="K67" s="12" t="str">
        <x:v>A solicitar</x:v>
      </x:c>
      <x:c r="L67" s="12" t="str">
        <x:v>Referência localizada</x:v>
      </x:c>
      <x:c r="M67" s="12" t="str">
        <x:v>Candidata</x:v>
      </x:c>
      <x:c r="N67" s="12" t="str">
        <x:v>Operations</x:v>
      </x:c>
      <x:c r="O67" s="12" t="n">
        <x:v>1</x:v>
      </x:c>
      <x:c r="P67" s="12"/>
      <x:c r="Q67" s="12"/>
      <x:c r="R67" s="12"/>
      <x:c r="S67" s="12" t="str">
        <x:v>Não revisada</x:v>
      </x:c>
      <x:c r="T67" s="12" t="str">
        <x:v>Priorizar aquisição nacional. Conferir se a ficha vigente corresponde ao lote recebido.</x:v>
      </x:c>
      <x:c r="U67" s="12" t="str">
        <x:v>dimension-revision:structure.family:v0.3</x:v>
      </x:c>
      <x:c r="V67" s="12" t="str">
        <x:v>concept-revision:structure.family.woven_fabric:v0.3</x:v>
      </x:c>
      <x:c r="W67" s="12" t="str">
        <x:v>concept-revision:construction.primary.twill:v0.3</x:v>
      </x:c>
      <x:c r="X67" s="12" t="str">
        <x:v>lead_only_not_asserted</x:v>
      </x:c>
      <x:c r="Y67" s="12" t="str">
        <x:v>textile-sample:ops-tx-066</x:v>
      </x:c>
      <x:c r="Z67" s="12"/>
      <x:c r="AA67" s="12"/>
      <x:c r="AB67" s="12"/>
      <x:c r="AC67" s="12"/>
      <x:c r="AD67" s="12" t="str">
        <x:v>wave-1-cedro</x:v>
      </x:c>
      <x:c r="AE67" s="12" t="str">
        <x:v>sarja 3x1 Z; 306 g/m²; 98% CO / 2% PUE</x:v>
      </x:c>
      <x:c r="AF67" s="67" t="n">
        <x:v>306</x:v>
      </x:c>
      <x:c r="AG67" s="12" t="str">
        <x:v>g/m²</x:v>
      </x:c>
      <x:c r="AH67" s="12" t="str">
        <x:v>percentual extraído — revisão pendente</x:v>
      </x:c>
      <x:c r="AI67" s="12" t="str">
        <x:v>[{"fiber": "algodão", "percentage": 98.0}, {"fiber": "elastano", "percentage": 2.0}]</x:v>
      </x:c>
      <x:c r="AJ67" s="67" t="n">
        <x:v>100</x:v>
      </x:c>
      <x:c r="AK67" s="12" t="str">
        <x:v>Sim</x:v>
      </x:c>
      <x:c r="AL67" s="12"/>
      <x:c r="AM67" s="12" t="str">
        <x:v>Não identificado</x:v>
      </x:c>
      <x:c r="AN67" s="12" t="str">
        <x:v>Não identificada</x:v>
      </x:c>
      <x:c r="AO67" s="12" t="str">
        <x:v>material_estimate_only</x:v>
      </x:c>
      <x:c r="AP67" s="12" t="str">
        <x:v>E — desconhecido / referência ainda não validada</x:v>
      </x:c>
      <x:c r="AQ67" s="68" t="n">
        <x:v>16</x:v>
      </x:c>
      <x:c r="AR67" s="68" t="n">
        <x:v>20</x:v>
      </x:c>
      <x:c r="AS67" s="68" t="n">
        <x:v>15</x:v>
      </x:c>
      <x:c r="AT67" s="68" t="n">
        <x:v>2</x:v>
      </x:c>
      <x:c r="AU67" s="68" t="n">
        <x:v>0</x:v>
      </x:c>
      <x:c r="AV67" s="68" t="n">
        <x:v>53</x:v>
      </x:c>
      <x:c r="AW67" s="12" t="str">
        <x:v>Sim</x:v>
      </x:c>
      <x:c r="AX67" s="12" t="str">
        <x:v>sem Evidence validada; extrações automáticas exigem revisão humana; status provisório: não autoriza cálculo oficial nem alegação ambiental; composição e gramatura aguardam revisão humana e evidência correspondente</x:v>
      </x:c>
      <x:c r="AY67" s="12" t="str">
        <x:v>pending_human_review</x:v>
      </x:c>
    </x:row>
    <x:row r="68">
      <x:c r="A68" s="12" t="str">
        <x:v>OPS-TX-067</x:v>
      </x:c>
      <x:c r="B68" s="12" t="str">
        <x:v>Cedro Têxtil</x:v>
      </x:c>
      <x:c r="C68" s="12" t="str">
        <x:v>Aiyunni</x:v>
      </x:c>
      <x:c r="D68" s="12" t="str">
        <x:v>tecido_plano</x:v>
      </x:c>
      <x:c r="E68" s="12" t="str">
        <x:v>sarja 3x1 Z; 297 g/m²; 98% CO / 2% PUE</x:v>
      </x:c>
      <x:c r="F68" s="12" t="str">
        <x:v>Ficha técnica pública na página oficial</x:v>
      </x:c>
      <x:c r="G68" s="12" t="str">
        <x:v>https://jeanswear.cedro.com.br/produto/elastic/denim-elastic/aiyunni/</x:v>
      </x:c>
      <x:c r="H68" s="12" t="str">
        <x:v>Alta</x:v>
      </x:c>
      <x:c r="I68" s="12" t="str">
        <x:v>Brasil</x:v>
      </x:c>
      <x:c r="J68" s="12" t="str">
        <x:v>Contatar representante regional e solicitar retalho identificado</x:v>
      </x:c>
      <x:c r="K68" s="12" t="str">
        <x:v>A solicitar</x:v>
      </x:c>
      <x:c r="L68" s="12" t="str">
        <x:v>Referência localizada</x:v>
      </x:c>
      <x:c r="M68" s="12" t="str">
        <x:v>Candidata</x:v>
      </x:c>
      <x:c r="N68" s="12" t="str">
        <x:v>Operations</x:v>
      </x:c>
      <x:c r="O68" s="12" t="n">
        <x:v>1</x:v>
      </x:c>
      <x:c r="P68" s="12"/>
      <x:c r="Q68" s="12"/>
      <x:c r="R68" s="12"/>
      <x:c r="S68" s="12" t="str">
        <x:v>Não revisada</x:v>
      </x:c>
      <x:c r="T68" s="12" t="str">
        <x:v>Priorizar aquisição nacional. Conferir se a ficha vigente corresponde ao lote recebido.</x:v>
      </x:c>
      <x:c r="U68" s="12" t="str">
        <x:v>dimension-revision:structure.family:v0.3</x:v>
      </x:c>
      <x:c r="V68" s="12" t="str">
        <x:v>concept-revision:structure.family.woven_fabric:v0.3</x:v>
      </x:c>
      <x:c r="W68" s="12" t="str">
        <x:v>concept-revision:construction.primary.twill:v0.3</x:v>
      </x:c>
      <x:c r="X68" s="12" t="str">
        <x:v>lead_only_not_asserted</x:v>
      </x:c>
      <x:c r="Y68" s="12" t="str">
        <x:v>textile-sample:ops-tx-067</x:v>
      </x:c>
      <x:c r="Z68" s="12"/>
      <x:c r="AA68" s="12"/>
      <x:c r="AB68" s="12"/>
      <x:c r="AC68" s="12"/>
      <x:c r="AD68" s="12" t="str">
        <x:v>wave-1-cedro</x:v>
      </x:c>
      <x:c r="AE68" s="12" t="str">
        <x:v>sarja 3x1 Z; 297 g/m²; 98% CO / 2% PUE</x:v>
      </x:c>
      <x:c r="AF68" s="67" t="n">
        <x:v>297</x:v>
      </x:c>
      <x:c r="AG68" s="12" t="str">
        <x:v>g/m²</x:v>
      </x:c>
      <x:c r="AH68" s="12" t="str">
        <x:v>percentual extraído — revisão pendente</x:v>
      </x:c>
      <x:c r="AI68" s="12" t="str">
        <x:v>[{"fiber": "algodão", "percentage": 98.0}, {"fiber": "elastano", "percentage": 2.0}]</x:v>
      </x:c>
      <x:c r="AJ68" s="67" t="n">
        <x:v>100</x:v>
      </x:c>
      <x:c r="AK68" s="12" t="str">
        <x:v>Sim</x:v>
      </x:c>
      <x:c r="AL68" s="12"/>
      <x:c r="AM68" s="12" t="str">
        <x:v>Não identificado</x:v>
      </x:c>
      <x:c r="AN68" s="12" t="str">
        <x:v>Não identificada</x:v>
      </x:c>
      <x:c r="AO68" s="12" t="str">
        <x:v>material_estimate_only</x:v>
      </x:c>
      <x:c r="AP68" s="12" t="str">
        <x:v>E — desconhecido / referência ainda não validada</x:v>
      </x:c>
      <x:c r="AQ68" s="68" t="n">
        <x:v>16</x:v>
      </x:c>
      <x:c r="AR68" s="68" t="n">
        <x:v>20</x:v>
      </x:c>
      <x:c r="AS68" s="68" t="n">
        <x:v>15</x:v>
      </x:c>
      <x:c r="AT68" s="68" t="n">
        <x:v>2</x:v>
      </x:c>
      <x:c r="AU68" s="68" t="n">
        <x:v>0</x:v>
      </x:c>
      <x:c r="AV68" s="68" t="n">
        <x:v>53</x:v>
      </x:c>
      <x:c r="AW68" s="12" t="str">
        <x:v>Sim</x:v>
      </x:c>
      <x:c r="AX68" s="12" t="str">
        <x:v>sem Evidence validada; extrações automáticas exigem revisão humana; status provisório: não autoriza cálculo oficial nem alegação ambiental; composição e gramatura aguardam revisão humana e evidência correspondente</x:v>
      </x:c>
      <x:c r="AY68" s="12" t="str">
        <x:v>pending_human_review</x:v>
      </x:c>
    </x:row>
    <x:row r="69">
      <x:c r="A69" s="12" t="str">
        <x:v>OPS-TX-068</x:v>
      </x:c>
      <x:c r="B69" s="12" t="str">
        <x:v>Cedro Têxtil</x:v>
      </x:c>
      <x:c r="C69" s="12" t="str">
        <x:v>Kiraz Blue</x:v>
      </x:c>
      <x:c r="D69" s="12" t="str">
        <x:v>tecido_plano</x:v>
      </x:c>
      <x:c r="E69" s="12" t="str">
        <x:v>sarja 3x1 Z; composição mista</x:v>
      </x:c>
      <x:c r="F69" s="12" t="str">
        <x:v>Ficha técnica pública na página oficial</x:v>
      </x:c>
      <x:c r="G69" s="12" t="str">
        <x:v>https://jeanswear.cedro.com.br/produto/elastic/denim-elastic/kiraz-blue/</x:v>
      </x:c>
      <x:c r="H69" s="12" t="str">
        <x:v>Alta</x:v>
      </x:c>
      <x:c r="I69" s="12" t="str">
        <x:v>Brasil</x:v>
      </x:c>
      <x:c r="J69" s="12" t="str">
        <x:v>Contatar representante regional e solicitar retalho identificado</x:v>
      </x:c>
      <x:c r="K69" s="12" t="str">
        <x:v>A solicitar</x:v>
      </x:c>
      <x:c r="L69" s="12" t="str">
        <x:v>Referência localizada</x:v>
      </x:c>
      <x:c r="M69" s="12" t="str">
        <x:v>Candidata</x:v>
      </x:c>
      <x:c r="N69" s="12" t="str">
        <x:v>Operations</x:v>
      </x:c>
      <x:c r="O69" s="12" t="n">
        <x:v>1</x:v>
      </x:c>
      <x:c r="P69" s="12"/>
      <x:c r="Q69" s="12"/>
      <x:c r="R69" s="12"/>
      <x:c r="S69" s="12" t="str">
        <x:v>Não revisada</x:v>
      </x:c>
      <x:c r="T69" s="12" t="str">
        <x:v>Priorizar aquisição nacional. Conferir se a ficha vigente corresponde ao lote recebido.</x:v>
      </x:c>
      <x:c r="U69" s="12" t="str">
        <x:v>dimension-revision:structure.family:v0.3</x:v>
      </x:c>
      <x:c r="V69" s="12" t="str">
        <x:v>concept-revision:structure.family.woven_fabric:v0.3</x:v>
      </x:c>
      <x:c r="W69" s="12" t="str">
        <x:v>concept-revision:construction.primary.twill:v0.3</x:v>
      </x:c>
      <x:c r="X69" s="12" t="str">
        <x:v>lead_only_not_asserted</x:v>
      </x:c>
      <x:c r="Y69" s="12" t="str">
        <x:v>textile-sample:ops-tx-068</x:v>
      </x:c>
      <x:c r="Z69" s="12"/>
      <x:c r="AA69" s="12"/>
      <x:c r="AB69" s="12"/>
      <x:c r="AC69" s="12"/>
      <x:c r="AD69" s="12" t="str">
        <x:v>wave-1-cedro</x:v>
      </x:c>
      <x:c r="AE69" s="12" t="str">
        <x:v>sarja 3x1 Z; composição mista</x:v>
      </x:c>
      <x:c r="AF69" s="67"/>
      <x:c r="AG69" s="12"/>
      <x:c r="AH69" s="12" t="str">
        <x:v>não informado</x:v>
      </x:c>
      <x:c r="AI69" s="12"/>
      <x:c r="AJ69" s="67"/>
      <x:c r="AK69" s="12"/>
      <x:c r="AL69" s="12"/>
      <x:c r="AM69" s="12" t="str">
        <x:v>Não identificado</x:v>
      </x:c>
      <x:c r="AN69" s="12" t="str">
        <x:v>Não identificada</x:v>
      </x:c>
      <x:c r="AO69" s="12" t="str">
        <x:v>not_calculable</x:v>
      </x:c>
      <x:c r="AP69" s="12" t="str">
        <x:v>E — desconhecido / referência ainda não validada</x:v>
      </x:c>
      <x:c r="AQ69" s="68" t="n">
        <x:v>16</x:v>
      </x:c>
      <x:c r="AR69" s="68" t="n">
        <x:v>20</x:v>
      </x:c>
      <x:c r="AS69" s="68" t="n">
        <x:v>0</x:v>
      </x:c>
      <x:c r="AT69" s="68" t="n">
        <x:v>2</x:v>
      </x:c>
      <x:c r="AU69" s="68" t="n">
        <x:v>0</x:v>
      </x:c>
      <x:c r="AV69" s="68" t="n">
        <x:v>38</x:v>
      </x:c>
      <x:c r="AW69" s="12" t="str">
        <x:v>Sim</x:v>
      </x:c>
      <x:c r="AX69" s="12" t="str">
        <x:v>composição percentual ausente; gramatura ausente; sem Evidence validada; extrações automáticas exigem revisão humana</x:v>
      </x:c>
      <x:c r="AY69" s="12" t="str">
        <x:v>not_applicable</x:v>
      </x:c>
    </x:row>
    <x:row r="70">
      <x:c r="A70" s="12" t="str">
        <x:v>OPS-TX-069</x:v>
      </x:c>
      <x:c r="B70" s="12" t="str">
        <x:v>Cedro Têxtil</x:v>
      </x:c>
      <x:c r="C70" s="12" t="str">
        <x:v>New Stretch 7oz</x:v>
      </x:c>
      <x:c r="D70" s="12" t="str">
        <x:v>tecido_plano</x:v>
      </x:c>
      <x:c r="E70" s="12" t="str">
        <x:v>sarja 2x1 S; 239 g/m²; 98% CO / 2% PUE</x:v>
      </x:c>
      <x:c r="F70" s="12" t="str">
        <x:v>Ficha técnica pública na página oficial</x:v>
      </x:c>
      <x:c r="G70" s="12" t="str">
        <x:v>https://jeanswear.cedro.com.br/produto/elastic/colours-elastic/new-stretch/</x:v>
      </x:c>
      <x:c r="H70" s="12" t="str">
        <x:v>Alta</x:v>
      </x:c>
      <x:c r="I70" s="12" t="str">
        <x:v>Brasil</x:v>
      </x:c>
      <x:c r="J70" s="12" t="str">
        <x:v>Contatar representante regional e solicitar retalho identificado</x:v>
      </x:c>
      <x:c r="K70" s="12" t="str">
        <x:v>A solicitar</x:v>
      </x:c>
      <x:c r="L70" s="12" t="str">
        <x:v>Referência localizada</x:v>
      </x:c>
      <x:c r="M70" s="12" t="str">
        <x:v>Candidata</x:v>
      </x:c>
      <x:c r="N70" s="12" t="str">
        <x:v>Operations</x:v>
      </x:c>
      <x:c r="O70" s="12" t="n">
        <x:v>1</x:v>
      </x:c>
      <x:c r="P70" s="12"/>
      <x:c r="Q70" s="12"/>
      <x:c r="R70" s="12"/>
      <x:c r="S70" s="12" t="str">
        <x:v>Não revisada</x:v>
      </x:c>
      <x:c r="T70" s="12" t="str">
        <x:v>Priorizar aquisição nacional. Conferir se a ficha vigente corresponde ao lote recebido.</x:v>
      </x:c>
      <x:c r="U70" s="12" t="str">
        <x:v>dimension-revision:structure.family:v0.3</x:v>
      </x:c>
      <x:c r="V70" s="12" t="str">
        <x:v>concept-revision:structure.family.woven_fabric:v0.3</x:v>
      </x:c>
      <x:c r="W70" s="12" t="str">
        <x:v>concept-revision:construction.primary.twill:v0.3</x:v>
      </x:c>
      <x:c r="X70" s="12" t="str">
        <x:v>lead_only_not_asserted</x:v>
      </x:c>
      <x:c r="Y70" s="12" t="str">
        <x:v>textile-sample:ops-tx-069</x:v>
      </x:c>
      <x:c r="Z70" s="12"/>
      <x:c r="AA70" s="12"/>
      <x:c r="AB70" s="12"/>
      <x:c r="AC70" s="12"/>
      <x:c r="AD70" s="12" t="str">
        <x:v>wave-1-cedro</x:v>
      </x:c>
      <x:c r="AE70" s="12" t="str">
        <x:v>sarja 2x1 S; 239 g/m²; 98% CO / 2% PUE</x:v>
      </x:c>
      <x:c r="AF70" s="67" t="n">
        <x:v>239</x:v>
      </x:c>
      <x:c r="AG70" s="12" t="str">
        <x:v>g/m²</x:v>
      </x:c>
      <x:c r="AH70" s="12" t="str">
        <x:v>percentual extraído — revisão pendente</x:v>
      </x:c>
      <x:c r="AI70" s="12" t="str">
        <x:v>[{"fiber": "algodão", "percentage": 98.0}, {"fiber": "elastano", "percentage": 2.0}]</x:v>
      </x:c>
      <x:c r="AJ70" s="67" t="n">
        <x:v>100</x:v>
      </x:c>
      <x:c r="AK70" s="12" t="str">
        <x:v>Sim</x:v>
      </x:c>
      <x:c r="AL70" s="12"/>
      <x:c r="AM70" s="12" t="str">
        <x:v>Não identificado</x:v>
      </x:c>
      <x:c r="AN70" s="12" t="str">
        <x:v>Não identificada</x:v>
      </x:c>
      <x:c r="AO70" s="12" t="str">
        <x:v>material_estimate_only</x:v>
      </x:c>
      <x:c r="AP70" s="12" t="str">
        <x:v>E — desconhecido / referência ainda não validada</x:v>
      </x:c>
      <x:c r="AQ70" s="68" t="n">
        <x:v>16</x:v>
      </x:c>
      <x:c r="AR70" s="68" t="n">
        <x:v>20</x:v>
      </x:c>
      <x:c r="AS70" s="68" t="n">
        <x:v>15</x:v>
      </x:c>
      <x:c r="AT70" s="68" t="n">
        <x:v>2</x:v>
      </x:c>
      <x:c r="AU70" s="68" t="n">
        <x:v>0</x:v>
      </x:c>
      <x:c r="AV70" s="68" t="n">
        <x:v>53</x:v>
      </x:c>
      <x:c r="AW70" s="12" t="str">
        <x:v>Sim</x:v>
      </x:c>
      <x:c r="AX70" s="12" t="str">
        <x:v>sem Evidence validada; extrações automáticas exigem revisão humana; status provisório: não autoriza cálculo oficial nem alegação ambiental; composição e gramatura aguardam revisão humana e evidência correspondente</x:v>
      </x:c>
      <x:c r="AY70" s="12" t="str">
        <x:v>pending_human_review</x:v>
      </x:c>
    </x:row>
    <x:row r="71">
      <x:c r="A71" s="12" t="str">
        <x:v>OPS-TX-070</x:v>
      </x:c>
      <x:c r="B71" s="12" t="str">
        <x:v>Cedro Têxtil</x:v>
      </x:c>
      <x:c r="C71" s="12" t="str">
        <x:v>New Flex 8,3oz</x:v>
      </x:c>
      <x:c r="D71" s="12" t="str">
        <x:v>tecido_plano</x:v>
      </x:c>
      <x:c r="E71" s="12" t="str">
        <x:v>sarja elastizada; ficha técnica pública</x:v>
      </x:c>
      <x:c r="F71" s="12" t="str">
        <x:v>Ficha técnica pública na página oficial</x:v>
      </x:c>
      <x:c r="G71" s="12" t="str">
        <x:v>https://jeanswear.cedro.com.br/produto/elastic/colours-elastic/new-flex/</x:v>
      </x:c>
      <x:c r="H71" s="12" t="str">
        <x:v>Alta</x:v>
      </x:c>
      <x:c r="I71" s="12" t="str">
        <x:v>Brasil</x:v>
      </x:c>
      <x:c r="J71" s="12" t="str">
        <x:v>Contatar representante regional e solicitar retalho identificado</x:v>
      </x:c>
      <x:c r="K71" s="12" t="str">
        <x:v>A solicitar</x:v>
      </x:c>
      <x:c r="L71" s="12" t="str">
        <x:v>Referência localizada</x:v>
      </x:c>
      <x:c r="M71" s="12" t="str">
        <x:v>Candidata</x:v>
      </x:c>
      <x:c r="N71" s="12" t="str">
        <x:v>Operations</x:v>
      </x:c>
      <x:c r="O71" s="12" t="n">
        <x:v>1</x:v>
      </x:c>
      <x:c r="P71" s="12"/>
      <x:c r="Q71" s="12"/>
      <x:c r="R71" s="12"/>
      <x:c r="S71" s="12" t="str">
        <x:v>Não revisada</x:v>
      </x:c>
      <x:c r="T71" s="12" t="str">
        <x:v>Priorizar aquisição nacional. Conferir se a ficha vigente corresponde ao lote recebido.</x:v>
      </x:c>
      <x:c r="U71" s="12" t="str">
        <x:v>dimension-revision:structure.family:v0.3</x:v>
      </x:c>
      <x:c r="V71" s="12" t="str">
        <x:v>concept-revision:structure.family.woven_fabric:v0.3</x:v>
      </x:c>
      <x:c r="W71" s="12" t="str">
        <x:v>concept-revision:construction.primary.twill:v0.3</x:v>
      </x:c>
      <x:c r="X71" s="12" t="str">
        <x:v>lead_only_not_asserted</x:v>
      </x:c>
      <x:c r="Y71" s="12" t="str">
        <x:v>textile-sample:ops-tx-070</x:v>
      </x:c>
      <x:c r="Z71" s="12"/>
      <x:c r="AA71" s="12"/>
      <x:c r="AB71" s="12"/>
      <x:c r="AC71" s="12"/>
      <x:c r="AD71" s="12" t="str">
        <x:v>wave-1-cedro</x:v>
      </x:c>
      <x:c r="AE71" s="12" t="str">
        <x:v>sarja elastizada; ficha técnica pública</x:v>
      </x:c>
      <x:c r="AF71" s="67"/>
      <x:c r="AG71" s="12"/>
      <x:c r="AH71" s="12" t="str">
        <x:v>não informado</x:v>
      </x:c>
      <x:c r="AI71" s="12"/>
      <x:c r="AJ71" s="67"/>
      <x:c r="AK71" s="12"/>
      <x:c r="AL71" s="12"/>
      <x:c r="AM71" s="12" t="str">
        <x:v>Não identificado</x:v>
      </x:c>
      <x:c r="AN71" s="12" t="str">
        <x:v>Não identificada</x:v>
      </x:c>
      <x:c r="AO71" s="12" t="str">
        <x:v>not_calculable</x:v>
      </x:c>
      <x:c r="AP71" s="12" t="str">
        <x:v>E — desconhecido / referência ainda não validada</x:v>
      </x:c>
      <x:c r="AQ71" s="68" t="n">
        <x:v>16</x:v>
      </x:c>
      <x:c r="AR71" s="68" t="n">
        <x:v>20</x:v>
      </x:c>
      <x:c r="AS71" s="68" t="n">
        <x:v>2</x:v>
      </x:c>
      <x:c r="AT71" s="68" t="n">
        <x:v>2</x:v>
      </x:c>
      <x:c r="AU71" s="68" t="n">
        <x:v>0</x:v>
      </x:c>
      <x:c r="AV71" s="68" t="n">
        <x:v>40</x:v>
      </x:c>
      <x:c r="AW71" s="12" t="str">
        <x:v>Sim</x:v>
      </x:c>
      <x:c r="AX71" s="12" t="str">
        <x:v>composição percentual ausente; gramatura ausente; sem Evidence validada; extrações automáticas exigem revisão humana</x:v>
      </x:c>
      <x:c r="AY71" s="12" t="str">
        <x:v>not_applicable</x:v>
      </x:c>
    </x:row>
  </x:sheetData>
  <x:conditionalFormatting sqref="AV2:AV71">
    <x:cfRule type="colorScale" priority="1">
      <x:colorScale>
        <x:cfvo type="min"/>
        <x:cfvo type="percentile" val="50"/>
        <x:cfvo type="max"/>
        <x:color rgb="FFF4CCCC"/>
        <x:color rgb="FFFFE599"/>
        <x:color rgb="FFD9EAD3"/>
      </x:colorScale>
    </x:cfRule>
  </x:conditionalFormatting>
  <x:dataValidations count="1">
    <x:dataValidation type="list" sqref="AO2:AO71">
      <x:formula1>"not_calculable,material_estimate_only,secondary_estimate,process_adjusted_estimate,supplier_specific_estimate,verified_environmental_profile"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72cd64d3b3472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8" hidden="0" customWidth="1"/>
    <x:col min="4" max="4" width="10" hidden="0" customWidth="1"/>
    <x:col min="5" max="5" width="22" hidden="0" customWidth="1"/>
    <x:col min="6" max="6" width="15" hidden="0" customWidth="1"/>
    <x:col min="7" max="7" width="14" hidden="0" customWidth="1"/>
    <x:col min="8" max="8" width="22" hidden="0" customWidth="1"/>
    <x:col min="9" max="9" width="24" hidden="0" customWidth="1"/>
    <x:col min="10" max="10" width="42" hidden="0" customWidth="1"/>
  </x:cols>
  <x:sheetData>
    <x:row r="1">
      <x:c r="A1" s="66" t="str">
        <x:v>sample_id</x:v>
      </x:c>
      <x:c r="B1" s="66" t="str">
        <x:v>supplier</x:v>
      </x:c>
      <x:c r="C1" s="66" t="str">
        <x:v>product</x:v>
      </x:c>
      <x:c r="D1" s="66" t="str">
        <x:v>component_order</x:v>
      </x:c>
      <x:c r="E1" s="66" t="str">
        <x:v>fiber_type_normalized</x:v>
      </x:c>
      <x:c r="F1" s="66" t="str">
        <x:v>percentage_extracted</x:v>
      </x:c>
      <x:c r="G1" s="66" t="str">
        <x:v>recycled_claim</x:v>
      </x:c>
      <x:c r="H1" s="66" t="str">
        <x:v>extraction_method</x:v>
      </x:c>
      <x:c r="I1" s="66" t="str">
        <x:v>validation_status</x:v>
      </x:c>
      <x:c r="J1" s="66" t="str">
        <x:v>source_text</x:v>
      </x:c>
    </x:row>
    <x:row r="2">
      <x:c r="A2" s="12" t="str">
        <x:v>OPS-TX-006</x:v>
      </x:c>
      <x:c r="B2" s="12" t="str">
        <x:v>Polartec</x:v>
      </x:c>
      <x:c r="C2" s="12" t="str">
        <x:v>Power Wool</x:v>
      </x:c>
      <x:c r="D2" s="12" t="n">
        <x:v>1</x:v>
      </x:c>
      <x:c r="E2" s="12" t="str">
        <x:v>lã</x:v>
      </x:c>
      <x:c r="F2" s="67"/>
      <x:c r="G2" s="12" t="str">
        <x:v>Não identificado</x:v>
      </x:c>
      <x:c r="H2" s="12" t="str">
        <x:v>keyword_from_source_text</x:v>
      </x:c>
      <x:c r="I2" s="12" t="str">
        <x:v>pending_human_review</x:v>
      </x:c>
      <x:c r="J2" s="12" t="str">
        <x:v>malha bi-componente lã/sintético</x:v>
      </x:c>
    </x:row>
    <x:row r="3">
      <x:c r="A3" s="12" t="str">
        <x:v>OPS-TX-022</x:v>
      </x:c>
      <x:c r="B3" s="12" t="str">
        <x:v>CORDURA / INVISTA</x:v>
      </x:c>
      <x:c r="C3" s="12" t="str">
        <x:v>Ballistic Fabric</x:v>
      </x:c>
      <x:c r="D3" s="12" t="n">
        <x:v>1</x:v>
      </x:c>
      <x:c r="E3" s="12" t="str">
        <x:v>poliamida</x:v>
      </x:c>
      <x:c r="F3" s="67"/>
      <x:c r="G3" s="12" t="str">
        <x:v>Não identificado</x:v>
      </x:c>
      <x:c r="H3" s="12" t="str">
        <x:v>keyword_from_source_text</x:v>
      </x:c>
      <x:c r="I3" s="12" t="str">
        <x:v>pending_human_review</x:v>
      </x:c>
      <x:c r="J3" s="12" t="str">
        <x:v>tecido plano nylon de alta tenacidade</x:v>
      </x:c>
    </x:row>
    <x:row r="4">
      <x:c r="A4" s="12" t="str">
        <x:v>OPS-TX-025</x:v>
      </x:c>
      <x:c r="B4" s="12" t="str">
        <x:v>CORDURA / INVISTA</x:v>
      </x:c>
      <x:c r="C4" s="12" t="str">
        <x:v>Combat Wool Fabric</x:v>
      </x:c>
      <x:c r="D4" s="12" t="n">
        <x:v>1</x:v>
      </x:c>
      <x:c r="E4" s="12" t="str">
        <x:v>poliamida</x:v>
      </x:c>
      <x:c r="F4" s="67"/>
      <x:c r="G4" s="12" t="str">
        <x:v>Não identificado</x:v>
      </x:c>
      <x:c r="H4" s="12" t="str">
        <x:v>keyword_from_source_text</x:v>
      </x:c>
      <x:c r="I4" s="12" t="str">
        <x:v>pending_human_review</x:v>
      </x:c>
      <x:c r="J4" s="12" t="str">
        <x:v>tecido plano mistura lã/nylon</x:v>
      </x:c>
    </x:row>
    <x:row r="5">
      <x:c r="A5" s="12" t="str">
        <x:v>OPS-TX-025</x:v>
      </x:c>
      <x:c r="B5" s="12" t="str">
        <x:v>CORDURA / INVISTA</x:v>
      </x:c>
      <x:c r="C5" s="12" t="str">
        <x:v>Combat Wool Fabric</x:v>
      </x:c>
      <x:c r="D5" s="12" t="n">
        <x:v>2</x:v>
      </x:c>
      <x:c r="E5" s="12" t="str">
        <x:v>lã</x:v>
      </x:c>
      <x:c r="F5" s="67"/>
      <x:c r="G5" s="12" t="str">
        <x:v>Não identificado</x:v>
      </x:c>
      <x:c r="H5" s="12" t="str">
        <x:v>keyword_from_source_text</x:v>
      </x:c>
      <x:c r="I5" s="12" t="str">
        <x:v>pending_human_review</x:v>
      </x:c>
      <x:c r="J5" s="12" t="str">
        <x:v>tecido plano mistura lã/nylon</x:v>
      </x:c>
    </x:row>
    <x:row r="6">
      <x:c r="A6" s="12" t="str">
        <x:v>OPS-TX-028</x:v>
      </x:c>
      <x:c r="B6" s="12" t="str">
        <x:v>CORDURA / INVISTA</x:v>
      </x:c>
      <x:c r="C6" s="12" t="str">
        <x:v>HP Fabric</x:v>
      </x:c>
      <x:c r="D6" s="12" t="n">
        <x:v>1</x:v>
      </x:c>
      <x:c r="E6" s="12" t="str">
        <x:v>poliéster</x:v>
      </x:c>
      <x:c r="F6" s="67"/>
      <x:c r="G6" s="12" t="str">
        <x:v>Não identificado</x:v>
      </x:c>
      <x:c r="H6" s="12" t="str">
        <x:v>keyword_from_source_text</x:v>
      </x:c>
      <x:c r="I6" s="12" t="str">
        <x:v>pending_human_review</x:v>
      </x:c>
      <x:c r="J6" s="12" t="str">
        <x:v>tecido plano poliéster para impressão</x:v>
      </x:c>
    </x:row>
    <x:row r="7">
      <x:c r="A7" s="12" t="str">
        <x:v>OPS-TX-032</x:v>
      </x:c>
      <x:c r="B7" s="12" t="str">
        <x:v>CORDURA / INVISTA</x:v>
      </x:c>
      <x:c r="C7" s="12" t="str">
        <x:v>NYCO Fabric</x:v>
      </x:c>
      <x:c r="D7" s="12" t="n">
        <x:v>1</x:v>
      </x:c>
      <x:c r="E7" s="12" t="str">
        <x:v>algodão</x:v>
      </x:c>
      <x:c r="F7" s="67"/>
      <x:c r="G7" s="12" t="str">
        <x:v>Não identificado</x:v>
      </x:c>
      <x:c r="H7" s="12" t="str">
        <x:v>keyword_from_source_text</x:v>
      </x:c>
      <x:c r="I7" s="12" t="str">
        <x:v>pending_human_review</x:v>
      </x:c>
      <x:c r="J7" s="12" t="str">
        <x:v>tecido plano nylon/algodão</x:v>
      </x:c>
    </x:row>
    <x:row r="8">
      <x:c r="A8" s="12" t="str">
        <x:v>OPS-TX-032</x:v>
      </x:c>
      <x:c r="B8" s="12" t="str">
        <x:v>CORDURA / INVISTA</x:v>
      </x:c>
      <x:c r="C8" s="12" t="str">
        <x:v>NYCO Fabric</x:v>
      </x:c>
      <x:c r="D8" s="12" t="n">
        <x:v>2</x:v>
      </x:c>
      <x:c r="E8" s="12" t="str">
        <x:v>poliamida</x:v>
      </x:c>
      <x:c r="F8" s="67"/>
      <x:c r="G8" s="12" t="str">
        <x:v>Não identificado</x:v>
      </x:c>
      <x:c r="H8" s="12" t="str">
        <x:v>keyword_from_source_text</x:v>
      </x:c>
      <x:c r="I8" s="12" t="str">
        <x:v>pending_human_review</x:v>
      </x:c>
      <x:c r="J8" s="12" t="str">
        <x:v>tecido plano nylon/algodão</x:v>
      </x:c>
    </x:row>
    <x:row r="9">
      <x:c r="A9" s="12" t="str">
        <x:v>OPS-TX-033</x:v>
      </x:c>
      <x:c r="B9" s="12" t="str">
        <x:v>CORDURA / INVISTA</x:v>
      </x:c>
      <x:c r="C9" s="12" t="str">
        <x:v>NYCO Knit</x:v>
      </x:c>
      <x:c r="D9" s="12" t="n">
        <x:v>1</x:v>
      </x:c>
      <x:c r="E9" s="12" t="str">
        <x:v>algodão</x:v>
      </x:c>
      <x:c r="F9" s="67"/>
      <x:c r="G9" s="12" t="str">
        <x:v>Não identificado</x:v>
      </x:c>
      <x:c r="H9" s="12" t="str">
        <x:v>keyword_from_source_text</x:v>
      </x:c>
      <x:c r="I9" s="12" t="str">
        <x:v>pending_human_review</x:v>
      </x:c>
      <x:c r="J9" s="12" t="str">
        <x:v>malha nylon/algodão</x:v>
      </x:c>
    </x:row>
    <x:row r="10">
      <x:c r="A10" s="12" t="str">
        <x:v>OPS-TX-033</x:v>
      </x:c>
      <x:c r="B10" s="12" t="str">
        <x:v>CORDURA / INVISTA</x:v>
      </x:c>
      <x:c r="C10" s="12" t="str">
        <x:v>NYCO Knit</x:v>
      </x:c>
      <x:c r="D10" s="12" t="n">
        <x:v>2</x:v>
      </x:c>
      <x:c r="E10" s="12" t="str">
        <x:v>poliamida</x:v>
      </x:c>
      <x:c r="F10" s="67"/>
      <x:c r="G10" s="12" t="str">
        <x:v>Não identificado</x:v>
      </x:c>
      <x:c r="H10" s="12" t="str">
        <x:v>keyword_from_source_text</x:v>
      </x:c>
      <x:c r="I10" s="12" t="str">
        <x:v>pending_human_review</x:v>
      </x:c>
      <x:c r="J10" s="12" t="str">
        <x:v>malha nylon/algodão</x:v>
      </x:c>
    </x:row>
    <x:row r="11">
      <x:c r="A11" s="12" t="str">
        <x:v>OPS-TX-034</x:v>
      </x:c>
      <x:c r="B11" s="12" t="str">
        <x:v>CORDURA / INVISTA</x:v>
      </x:c>
      <x:c r="C11" s="12" t="str">
        <x:v>re/cor RN66</x:v>
      </x:c>
      <x:c r="D11" s="12" t="n">
        <x:v>1</x:v>
      </x:c>
      <x:c r="E11" s="12" t="str">
        <x:v>poliamida</x:v>
      </x:c>
      <x:c r="F11" s="67"/>
      <x:c r="G11" s="12" t="str">
        <x:v>Sim</x:v>
      </x:c>
      <x:c r="H11" s="12" t="str">
        <x:v>keyword_from_source_text</x:v>
      </x:c>
      <x:c r="I11" s="12" t="str">
        <x:v>pending_human_review</x:v>
      </x:c>
      <x:c r="J11" s="12" t="str">
        <x:v>tecido reciclado nylon 6,6</x:v>
      </x:c>
    </x:row>
    <x:row r="12">
      <x:c r="A12" s="12" t="str">
        <x:v>OPS-TX-039</x:v>
      </x:c>
      <x:c r="B12" s="12" t="str">
        <x:v>Freudenberg Performance Materials</x:v>
      </x:c>
      <x:c r="C12" s="12" t="str">
        <x:v>Lutradur</x:v>
      </x:c>
      <x:c r="D12" s="12" t="n">
        <x:v>1</x:v>
      </x:c>
      <x:c r="E12" s="12" t="str">
        <x:v>poliéster</x:v>
      </x:c>
      <x:c r="F12" s="67"/>
      <x:c r="G12" s="12" t="str">
        <x:v>Não identificado</x:v>
      </x:c>
      <x:c r="H12" s="12" t="str">
        <x:v>keyword_from_source_text</x:v>
      </x:c>
      <x:c r="I12" s="12" t="str">
        <x:v>pending_human_review</x:v>
      </x:c>
      <x:c r="J12" s="12" t="str">
        <x:v>spunbond poliéster</x:v>
      </x:c>
    </x:row>
    <x:row r="13">
      <x:c r="A13" s="12" t="str">
        <x:v>OPS-TX-040</x:v>
      </x:c>
      <x:c r="B13" s="12" t="str">
        <x:v>Freudenberg Performance Materials</x:v>
      </x:c>
      <x:c r="C13" s="12" t="str">
        <x:v>Terbond</x:v>
      </x:c>
      <x:c r="D13" s="12" t="n">
        <x:v>1</x:v>
      </x:c>
      <x:c r="E13" s="12" t="str">
        <x:v>poliéster</x:v>
      </x:c>
      <x:c r="F13" s="67"/>
      <x:c r="G13" s="12" t="str">
        <x:v>Não identificado</x:v>
      </x:c>
      <x:c r="H13" s="12" t="str">
        <x:v>keyword_from_source_text</x:v>
      </x:c>
      <x:c r="I13" s="12" t="str">
        <x:v>pending_human_review</x:v>
      </x:c>
      <x:c r="J13" s="12" t="str">
        <x:v>não tecido poliéster</x:v>
      </x:c>
    </x:row>
    <x:row r="14">
      <x:c r="A14" s="12" t="str">
        <x:v>OPS-TX-041</x:v>
      </x:c>
      <x:c r="B14" s="12" t="str">
        <x:v>Freudenberg Performance Materials</x:v>
      </x:c>
      <x:c r="C14" s="12" t="str">
        <x:v>Texbond</x:v>
      </x:c>
      <x:c r="D14" s="12" t="n">
        <x:v>1</x:v>
      </x:c>
      <x:c r="E14" s="12" t="str">
        <x:v>poliéster</x:v>
      </x:c>
      <x:c r="F14" s="67"/>
      <x:c r="G14" s="12" t="str">
        <x:v>Não identificado</x:v>
      </x:c>
      <x:c r="H14" s="12" t="str">
        <x:v>keyword_from_source_text</x:v>
      </x:c>
      <x:c r="I14" s="12" t="str">
        <x:v>pending_human_review</x:v>
      </x:c>
      <x:c r="J14" s="12" t="str">
        <x:v>não tecido poliéster reforçado</x:v>
      </x:c>
    </x:row>
    <x:row r="15">
      <x:c r="A15" s="12" t="str">
        <x:v>OPS-TX-061</x:v>
      </x:c>
      <x:c r="B15" s="12" t="str">
        <x:v>Cedro Têxtil</x:v>
      </x:c>
      <x:c r="C15" s="12" t="str">
        <x:v>CEDRO RIP STOP SUPER</x:v>
      </x:c>
      <x:c r="D15" s="12" t="n">
        <x:v>1</x:v>
      </x:c>
      <x:c r="E15" s="12" t="str">
        <x:v>algodão</x:v>
      </x:c>
      <x:c r="F15" s="67" t="n">
        <x:v>30</x:v>
      </x:c>
      <x:c r="G15" s="12" t="str">
        <x:v>Não identificado</x:v>
      </x:c>
      <x:c r="H15" s="12" t="str">
        <x:v>regex_from_source_text</x:v>
      </x:c>
      <x:c r="I15" s="12" t="str">
        <x:v>pending_human_review</x:v>
      </x:c>
      <x:c r="J15" s="12" t="str">
        <x:v>tela 1x1 ripstop; 210 g/m²; 30% CO / 70% PES</x:v>
      </x:c>
    </x:row>
    <x:row r="16">
      <x:c r="A16" s="12" t="str">
        <x:v>OPS-TX-061</x:v>
      </x:c>
      <x:c r="B16" s="12" t="str">
        <x:v>Cedro Têxtil</x:v>
      </x:c>
      <x:c r="C16" s="12" t="str">
        <x:v>CEDRO RIP STOP SUPER</x:v>
      </x:c>
      <x:c r="D16" s="12" t="n">
        <x:v>2</x:v>
      </x:c>
      <x:c r="E16" s="12" t="str">
        <x:v>poliéster</x:v>
      </x:c>
      <x:c r="F16" s="67" t="n">
        <x:v>70</x:v>
      </x:c>
      <x:c r="G16" s="12" t="str">
        <x:v>Não identificado</x:v>
      </x:c>
      <x:c r="H16" s="12" t="str">
        <x:v>regex_from_source_text</x:v>
      </x:c>
      <x:c r="I16" s="12" t="str">
        <x:v>pending_human_review</x:v>
      </x:c>
      <x:c r="J16" s="12" t="str">
        <x:v>tela 1x1 ripstop; 210 g/m²; 30% CO / 70% PES</x:v>
      </x:c>
    </x:row>
    <x:row r="17">
      <x:c r="A17" s="12" t="str">
        <x:v>OPS-TX-062</x:v>
      </x:c>
      <x:c r="B17" s="12" t="str">
        <x:v>Cedro Têxtil</x:v>
      </x:c>
      <x:c r="C17" s="12" t="str">
        <x:v>CEDROCONFORT RIP STOP II</x:v>
      </x:c>
      <x:c r="D17" s="12" t="n">
        <x:v>1</x:v>
      </x:c>
      <x:c r="E17" s="12" t="str">
        <x:v>algodão</x:v>
      </x:c>
      <x:c r="F17" s="67" t="n">
        <x:v>67</x:v>
      </x:c>
      <x:c r="G17" s="12" t="str">
        <x:v>Não identificado</x:v>
      </x:c>
      <x:c r="H17" s="12" t="str">
        <x:v>regex_from_source_text</x:v>
      </x:c>
      <x:c r="I17" s="12" t="str">
        <x:v>pending_human_review</x:v>
      </x:c>
      <x:c r="J17" s="12" t="str">
        <x:v>tela 1x1 ripstop; 235 g/m²; 67% CO / 33% PES</x:v>
      </x:c>
    </x:row>
    <x:row r="18">
      <x:c r="A18" s="12" t="str">
        <x:v>OPS-TX-062</x:v>
      </x:c>
      <x:c r="B18" s="12" t="str">
        <x:v>Cedro Têxtil</x:v>
      </x:c>
      <x:c r="C18" s="12" t="str">
        <x:v>CEDROCONFORT RIP STOP II</x:v>
      </x:c>
      <x:c r="D18" s="12" t="n">
        <x:v>2</x:v>
      </x:c>
      <x:c r="E18" s="12" t="str">
        <x:v>poliéster</x:v>
      </x:c>
      <x:c r="F18" s="67" t="n">
        <x:v>33</x:v>
      </x:c>
      <x:c r="G18" s="12" t="str">
        <x:v>Não identificado</x:v>
      </x:c>
      <x:c r="H18" s="12" t="str">
        <x:v>regex_from_source_text</x:v>
      </x:c>
      <x:c r="I18" s="12" t="str">
        <x:v>pending_human_review</x:v>
      </x:c>
      <x:c r="J18" s="12" t="str">
        <x:v>tela 1x1 ripstop; 235 g/m²; 67% CO / 33% PES</x:v>
      </x:c>
    </x:row>
    <x:row r="19">
      <x:c r="A19" s="12" t="str">
        <x:v>OPS-TX-064</x:v>
      </x:c>
      <x:c r="B19" s="12" t="str">
        <x:v>Cedro Têxtil</x:v>
      </x:c>
      <x:c r="C19" s="12" t="str">
        <x:v>POLYCOTTONCEDRO SUPER II</x:v>
      </x:c>
      <x:c r="D19" s="12" t="n">
        <x:v>1</x:v>
      </x:c>
      <x:c r="E19" s="12" t="str">
        <x:v>algodão</x:v>
      </x:c>
      <x:c r="F19" s="67" t="n">
        <x:v>33</x:v>
      </x:c>
      <x:c r="G19" s="12" t="str">
        <x:v>Não identificado</x:v>
      </x:c>
      <x:c r="H19" s="12" t="str">
        <x:v>regex_from_source_text</x:v>
      </x:c>
      <x:c r="I19" s="12" t="str">
        <x:v>pending_human_review</x:v>
      </x:c>
      <x:c r="J19" s="12" t="str">
        <x:v>sarja 2x1; 221 g/m²; 33% CO / 67% PES</x:v>
      </x:c>
    </x:row>
    <x:row r="20">
      <x:c r="A20" s="12" t="str">
        <x:v>OPS-TX-064</x:v>
      </x:c>
      <x:c r="B20" s="12" t="str">
        <x:v>Cedro Têxtil</x:v>
      </x:c>
      <x:c r="C20" s="12" t="str">
        <x:v>POLYCOTTONCEDRO SUPER II</x:v>
      </x:c>
      <x:c r="D20" s="12" t="n">
        <x:v>2</x:v>
      </x:c>
      <x:c r="E20" s="12" t="str">
        <x:v>poliéster</x:v>
      </x:c>
      <x:c r="F20" s="67" t="n">
        <x:v>67</x:v>
      </x:c>
      <x:c r="G20" s="12" t="str">
        <x:v>Não identificado</x:v>
      </x:c>
      <x:c r="H20" s="12" t="str">
        <x:v>regex_from_source_text</x:v>
      </x:c>
      <x:c r="I20" s="12" t="str">
        <x:v>pending_human_review</x:v>
      </x:c>
      <x:c r="J20" s="12" t="str">
        <x:v>sarja 2x1; 221 g/m²; 33% CO / 67% PES</x:v>
      </x:c>
    </x:row>
    <x:row r="21">
      <x:c r="A21" s="12" t="str">
        <x:v>OPS-TX-065</x:v>
      </x:c>
      <x:c r="B21" s="12" t="str">
        <x:v>Cedro Têxtil</x:v>
      </x:c>
      <x:c r="C21" s="12" t="str">
        <x:v>Kazan Plus</x:v>
      </x:c>
      <x:c r="D21" s="12" t="n">
        <x:v>1</x:v>
      </x:c>
      <x:c r="E21" s="12" t="str">
        <x:v>algodão</x:v>
      </x:c>
      <x:c r="F21" s="67" t="n">
        <x:v>98</x:v>
      </x:c>
      <x:c r="G21" s="12" t="str">
        <x:v>Não identificado</x:v>
      </x:c>
      <x:c r="H21" s="12" t="str">
        <x:v>regex_from_source_text</x:v>
      </x:c>
      <x:c r="I21" s="12" t="str">
        <x:v>pending_human_review</x:v>
      </x:c>
      <x:c r="J21" s="12" t="str">
        <x:v>sarja 3x1 Z; 350 g/m²; 98% CO / 2% PUE</x:v>
      </x:c>
    </x:row>
    <x:row r="22">
      <x:c r="A22" s="12" t="str">
        <x:v>OPS-TX-065</x:v>
      </x:c>
      <x:c r="B22" s="12" t="str">
        <x:v>Cedro Têxtil</x:v>
      </x:c>
      <x:c r="C22" s="12" t="str">
        <x:v>Kazan Plus</x:v>
      </x:c>
      <x:c r="D22" s="12" t="n">
        <x:v>2</x:v>
      </x:c>
      <x:c r="E22" s="12" t="str">
        <x:v>elastano</x:v>
      </x:c>
      <x:c r="F22" s="67" t="n">
        <x:v>2</x:v>
      </x:c>
      <x:c r="G22" s="12" t="str">
        <x:v>Não identificado</x:v>
      </x:c>
      <x:c r="H22" s="12" t="str">
        <x:v>regex_from_source_text</x:v>
      </x:c>
      <x:c r="I22" s="12" t="str">
        <x:v>pending_human_review</x:v>
      </x:c>
      <x:c r="J22" s="12" t="str">
        <x:v>sarja 3x1 Z; 350 g/m²; 98% CO / 2% PUE</x:v>
      </x:c>
    </x:row>
    <x:row r="23">
      <x:c r="A23" s="12" t="str">
        <x:v>OPS-TX-066</x:v>
      </x:c>
      <x:c r="B23" s="12" t="str">
        <x:v>Cedro Têxtil</x:v>
      </x:c>
      <x:c r="C23" s="12" t="str">
        <x:v>Colorado Stretch</x:v>
      </x:c>
      <x:c r="D23" s="12" t="n">
        <x:v>1</x:v>
      </x:c>
      <x:c r="E23" s="12" t="str">
        <x:v>algodão</x:v>
      </x:c>
      <x:c r="F23" s="67" t="n">
        <x:v>98</x:v>
      </x:c>
      <x:c r="G23" s="12" t="str">
        <x:v>Não identificado</x:v>
      </x:c>
      <x:c r="H23" s="12" t="str">
        <x:v>regex_from_source_text</x:v>
      </x:c>
      <x:c r="I23" s="12" t="str">
        <x:v>pending_human_review</x:v>
      </x:c>
      <x:c r="J23" s="12" t="str">
        <x:v>sarja 3x1 Z; 306 g/m²; 98% CO / 2% PUE</x:v>
      </x:c>
    </x:row>
    <x:row r="24">
      <x:c r="A24" s="12" t="str">
        <x:v>OPS-TX-066</x:v>
      </x:c>
      <x:c r="B24" s="12" t="str">
        <x:v>Cedro Têxtil</x:v>
      </x:c>
      <x:c r="C24" s="12" t="str">
        <x:v>Colorado Stretch</x:v>
      </x:c>
      <x:c r="D24" s="12" t="n">
        <x:v>2</x:v>
      </x:c>
      <x:c r="E24" s="12" t="str">
        <x:v>elastano</x:v>
      </x:c>
      <x:c r="F24" s="67" t="n">
        <x:v>2</x:v>
      </x:c>
      <x:c r="G24" s="12" t="str">
        <x:v>Não identificado</x:v>
      </x:c>
      <x:c r="H24" s="12" t="str">
        <x:v>regex_from_source_text</x:v>
      </x:c>
      <x:c r="I24" s="12" t="str">
        <x:v>pending_human_review</x:v>
      </x:c>
      <x:c r="J24" s="12" t="str">
        <x:v>sarja 3x1 Z; 306 g/m²; 98% CO / 2% PUE</x:v>
      </x:c>
    </x:row>
    <x:row r="25">
      <x:c r="A25" s="12" t="str">
        <x:v>OPS-TX-067</x:v>
      </x:c>
      <x:c r="B25" s="12" t="str">
        <x:v>Cedro Têxtil</x:v>
      </x:c>
      <x:c r="C25" s="12" t="str">
        <x:v>Aiyunni</x:v>
      </x:c>
      <x:c r="D25" s="12" t="n">
        <x:v>1</x:v>
      </x:c>
      <x:c r="E25" s="12" t="str">
        <x:v>algodão</x:v>
      </x:c>
      <x:c r="F25" s="67" t="n">
        <x:v>98</x:v>
      </x:c>
      <x:c r="G25" s="12" t="str">
        <x:v>Não identificado</x:v>
      </x:c>
      <x:c r="H25" s="12" t="str">
        <x:v>regex_from_source_text</x:v>
      </x:c>
      <x:c r="I25" s="12" t="str">
        <x:v>pending_human_review</x:v>
      </x:c>
      <x:c r="J25" s="12" t="str">
        <x:v>sarja 3x1 Z; 297 g/m²; 98% CO / 2% PUE</x:v>
      </x:c>
    </x:row>
    <x:row r="26">
      <x:c r="A26" s="12" t="str">
        <x:v>OPS-TX-067</x:v>
      </x:c>
      <x:c r="B26" s="12" t="str">
        <x:v>Cedro Têxtil</x:v>
      </x:c>
      <x:c r="C26" s="12" t="str">
        <x:v>Aiyunni</x:v>
      </x:c>
      <x:c r="D26" s="12" t="n">
        <x:v>2</x:v>
      </x:c>
      <x:c r="E26" s="12" t="str">
        <x:v>elastano</x:v>
      </x:c>
      <x:c r="F26" s="67" t="n">
        <x:v>2</x:v>
      </x:c>
      <x:c r="G26" s="12" t="str">
        <x:v>Não identificado</x:v>
      </x:c>
      <x:c r="H26" s="12" t="str">
        <x:v>regex_from_source_text</x:v>
      </x:c>
      <x:c r="I26" s="12" t="str">
        <x:v>pending_human_review</x:v>
      </x:c>
      <x:c r="J26" s="12" t="str">
        <x:v>sarja 3x1 Z; 297 g/m²; 98% CO / 2% PUE</x:v>
      </x:c>
    </x:row>
    <x:row r="27">
      <x:c r="A27" s="12" t="str">
        <x:v>OPS-TX-069</x:v>
      </x:c>
      <x:c r="B27" s="12" t="str">
        <x:v>Cedro Têxtil</x:v>
      </x:c>
      <x:c r="C27" s="12" t="str">
        <x:v>New Stretch 7oz</x:v>
      </x:c>
      <x:c r="D27" s="12" t="n">
        <x:v>1</x:v>
      </x:c>
      <x:c r="E27" s="12" t="str">
        <x:v>algodão</x:v>
      </x:c>
      <x:c r="F27" s="67" t="n">
        <x:v>98</x:v>
      </x:c>
      <x:c r="G27" s="12" t="str">
        <x:v>Não identificado</x:v>
      </x:c>
      <x:c r="H27" s="12" t="str">
        <x:v>regex_from_source_text</x:v>
      </x:c>
      <x:c r="I27" s="12" t="str">
        <x:v>pending_human_review</x:v>
      </x:c>
      <x:c r="J27" s="12" t="str">
        <x:v>sarja 2x1 S; 239 g/m²; 98% CO / 2% PUE</x:v>
      </x:c>
    </x:row>
    <x:row r="28">
      <x:c r="A28" s="12" t="str">
        <x:v>OPS-TX-069</x:v>
      </x:c>
      <x:c r="B28" s="12" t="str">
        <x:v>Cedro Têxtil</x:v>
      </x:c>
      <x:c r="C28" s="12" t="str">
        <x:v>New Stretch 7oz</x:v>
      </x:c>
      <x:c r="D28" s="12" t="n">
        <x:v>2</x:v>
      </x:c>
      <x:c r="E28" s="12" t="str">
        <x:v>elastano</x:v>
      </x:c>
      <x:c r="F28" s="67" t="n">
        <x:v>2</x:v>
      </x:c>
      <x:c r="G28" s="12" t="str">
        <x:v>Não identificado</x:v>
      </x:c>
      <x:c r="H28" s="12" t="str">
        <x:v>regex_from_source_text</x:v>
      </x:c>
      <x:c r="I28" s="12" t="str">
        <x:v>pending_human_review</x:v>
      </x:c>
      <x:c r="J28" s="12" t="str">
        <x:v>sarja 2x1 S; 239 g/m²; 98% CO / 2% PUE</x:v>
      </x:c>
    </x:row>
  </x:sheetData>
  <x:dataValidations count="1">
    <x:dataValidation type="list" sqref="I2:I28">
      <x:formula1>"pending_human_review,accepted,corrected,rejected"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09fec105bb44f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2" hidden="0" customWidth="1"/>
    <x:col min="4" max="4" width="12" hidden="0" customWidth="1"/>
    <x:col min="5" max="5" width="28" hidden="0" customWidth="1"/>
    <x:col min="6" max="6" width="12" hidden="0" customWidth="1"/>
    <x:col min="7" max="7" width="48" hidden="0" customWidth="1"/>
  </x:cols>
  <x:sheetData>
    <x:row r="1">
      <x:c r="A1" s="66" t="str">
        <x:v>Campo</x:v>
      </x:c>
      <x:c r="B1" s="66" t="str">
        <x:v>Escopo</x:v>
      </x:c>
      <x:c r="C1" s="66" t="str">
        <x:v>Preenchidas</x:v>
      </x:c>
      <x:c r="D1" s="66" t="str">
        <x:v>Ausentes</x:v>
      </x:c>
      <x:c r="E1" s="66" t="str">
        <x:v>Agente responsável</x:v>
      </x:c>
      <x:c r="F1" s="66" t="str">
        <x:v>Prioridade</x:v>
      </x:c>
      <x:c r="G1" s="66" t="str">
        <x:v>Próxima ação</x:v>
      </x:c>
    </x:row>
    <x:row r="2">
      <x:c r="A2" s="12" t="str">
        <x:v>batch_or_lot</x:v>
      </x:c>
      <x:c r="B2" s="12" t="n">
        <x:v>70</x:v>
      </x:c>
      <x:c r="C2" s="12" t="n">
        <x:v>0</x:v>
      </x:c>
      <x:c r="D2" s="12" t="n">
        <x:v>70</x:v>
      </x:c>
      <x:c r="E2" s="12" t="str">
        <x:v>Operações + Evidências</x:v>
      </x:c>
      <x:c r="F2" s="12" t="str">
        <x:v>Alta</x:v>
      </x:c>
      <x:c r="G2" s="12" t="str">
        <x:v>Solicitar e vincular código/lote à amostra física</x:v>
      </x:c>
    </x:row>
    <x:row r="3">
      <x:c r="A3" s="12" t="str">
        <x:v>composition_any</x:v>
      </x:c>
      <x:c r="B3" s="12" t="n">
        <x:v>70</x:v>
      </x:c>
      <x:c r="C3" s="12" t="n">
        <x:v>17</x:v>
      </x:c>
      <x:c r="D3" s="12" t="n">
        <x:v>53</x:v>
      </x:c>
      <x:c r="E3" s="12" t="str">
        <x:v>Especialista Têxtil + Operações</x:v>
      </x:c>
      <x:c r="F3" s="12" t="str">
        <x:v>Crítica</x:v>
      </x:c>
      <x:c r="G3" s="12" t="str">
        <x:v>Obter composição documental; não inferir por imagem</x:v>
      </x:c>
    </x:row>
    <x:row r="4">
      <x:c r="A4" s="12" t="str">
        <x:v>composition_percent_valid</x:v>
      </x:c>
      <x:c r="B4" s="12" t="n">
        <x:v>70</x:v>
      </x:c>
      <x:c r="C4" s="12" t="n">
        <x:v>7</x:v>
      </x:c>
      <x:c r="D4" s="12" t="n">
        <x:v>63</x:v>
      </x:c>
      <x:c r="E4" s="12" t="str">
        <x:v>Especialista Têxtil + Evidências</x:v>
      </x:c>
      <x:c r="F4" s="12" t="str">
        <x:v>Crítica</x:v>
      </x:c>
      <x:c r="G4" s="12" t="str">
        <x:v>Confirmar percentuais e soma próxima de 100%</x:v>
      </x:c>
    </x:row>
    <x:row r="5">
      <x:c r="A5" s="12" t="str">
        <x:v>gsm</x:v>
      </x:c>
      <x:c r="B5" s="12" t="n">
        <x:v>70</x:v>
      </x:c>
      <x:c r="C5" s="12" t="n">
        <x:v>14</x:v>
      </x:c>
      <x:c r="D5" s="12" t="n">
        <x:v>56</x:v>
      </x:c>
      <x:c r="E5" s="12" t="str">
        <x:v>Operações + Especialista Têxtil</x:v>
      </x:c>
      <x:c r="F5" s="12" t="str">
        <x:v>Crítica</x:v>
      </x:c>
      <x:c r="G5" s="12" t="str">
        <x:v>Obter gramatura da ficha ou ensaio</x:v>
      </x:c>
    </x:row>
    <x:row r="6">
      <x:c r="A6" s="12" t="str">
        <x:v>usable_width_cm</x:v>
      </x:c>
      <x:c r="B6" s="12" t="n">
        <x:v>70</x:v>
      </x:c>
      <x:c r="C6" s="12" t="n">
        <x:v>0</x:v>
      </x:c>
      <x:c r="D6" s="12" t="n">
        <x:v>70</x:v>
      </x:c>
      <x:c r="E6" s="12" t="str">
        <x:v>Operações</x:v>
      </x:c>
      <x:c r="F6" s="12" t="str">
        <x:v>Alta</x:v>
      </x:c>
      <x:c r="G6" s="12" t="str">
        <x:v>Solicitar largura total e útil</x:v>
      </x:c>
    </x:row>
    <x:row r="7">
      <x:c r="A7" s="12" t="str">
        <x:v>thickness_mm</x:v>
      </x:c>
      <x:c r="B7" s="12" t="n">
        <x:v>70</x:v>
      </x:c>
      <x:c r="C7" s="12" t="n">
        <x:v>0</x:v>
      </x:c>
      <x:c r="D7" s="12" t="n">
        <x:v>70</x:v>
      </x:c>
      <x:c r="E7" s="12" t="str">
        <x:v>Especialista Têxtil</x:v>
      </x:c>
      <x:c r="F7" s="12" t="str">
        <x:v>Média</x:v>
      </x:c>
      <x:c r="G7" s="12" t="str">
        <x:v>Medir apenas quando aplicável</x:v>
      </x:c>
    </x:row>
    <x:row r="8">
      <x:c r="A8" s="12" t="str">
        <x:v>fiber_origin</x:v>
      </x:c>
      <x:c r="B8" s="12" t="n">
        <x:v>70</x:v>
      </x:c>
      <x:c r="C8" s="12" t="n">
        <x:v>0</x:v>
      </x:c>
      <x:c r="D8" s="12" t="n">
        <x:v>70</x:v>
      </x:c>
      <x:c r="E8" s="12" t="str">
        <x:v>Operações + ACV</x:v>
      </x:c>
      <x:c r="F8" s="12" t="str">
        <x:v>Alta</x:v>
      </x:c>
      <x:c r="G8" s="12" t="str">
        <x:v>Registrar país/região de origem da fibra</x:v>
      </x:c>
    </x:row>
    <x:row r="9">
      <x:c r="A9" s="12" t="str">
        <x:v>spinning_location</x:v>
      </x:c>
      <x:c r="B9" s="12" t="n">
        <x:v>70</x:v>
      </x:c>
      <x:c r="C9" s="12" t="n">
        <x:v>0</x:v>
      </x:c>
      <x:c r="D9" s="12" t="n">
        <x:v>70</x:v>
      </x:c>
      <x:c r="E9" s="12" t="str">
        <x:v>Operações</x:v>
      </x:c>
      <x:c r="F9" s="12" t="str">
        <x:v>Alta</x:v>
      </x:c>
      <x:c r="G9" s="12" t="str">
        <x:v>Registrar local de fiação</x:v>
      </x:c>
    </x:row>
    <x:row r="10">
      <x:c r="A10" s="12" t="str">
        <x:v>fabric_formation_location</x:v>
      </x:c>
      <x:c r="B10" s="12" t="n">
        <x:v>70</x:v>
      </x:c>
      <x:c r="C10" s="12" t="n">
        <x:v>0</x:v>
      </x:c>
      <x:c r="D10" s="12" t="n">
        <x:v>70</x:v>
      </x:c>
      <x:c r="E10" s="12" t="str">
        <x:v>Operações</x:v>
      </x:c>
      <x:c r="F10" s="12" t="str">
        <x:v>Alta</x:v>
      </x:c>
      <x:c r="G10" s="12" t="str">
        <x:v>Registrar tecelagem/malharia/formação</x:v>
      </x:c>
    </x:row>
    <x:row r="11">
      <x:c r="A11" s="12" t="str">
        <x:v>dyeing_location</x:v>
      </x:c>
      <x:c r="B11" s="12" t="n">
        <x:v>70</x:v>
      </x:c>
      <x:c r="C11" s="12" t="n">
        <x:v>0</x:v>
      </x:c>
      <x:c r="D11" s="12" t="n">
        <x:v>70</x:v>
      </x:c>
      <x:c r="E11" s="12" t="str">
        <x:v>Operações</x:v>
      </x:c>
      <x:c r="F11" s="12" t="str">
        <x:v>Alta</x:v>
      </x:c>
      <x:c r="G11" s="12" t="str">
        <x:v>Registrar local e processo de tingimento</x:v>
      </x:c>
    </x:row>
    <x:row r="12">
      <x:c r="A12" s="12" t="str">
        <x:v>finishing_process</x:v>
      </x:c>
      <x:c r="B12" s="12" t="n">
        <x:v>70</x:v>
      </x:c>
      <x:c r="C12" s="12" t="n">
        <x:v>0</x:v>
      </x:c>
      <x:c r="D12" s="12" t="n">
        <x:v>70</x:v>
      </x:c>
      <x:c r="E12" s="12" t="str">
        <x:v>Especialista Têxtil + Operações</x:v>
      </x:c>
      <x:c r="F12" s="12" t="str">
        <x:v>Alta</x:v>
      </x:c>
      <x:c r="G12" s="12" t="str">
        <x:v>Detalhar acabamento e tratamentos</x:v>
      </x:c>
    </x:row>
    <x:row r="13">
      <x:c r="A13" s="12" t="str">
        <x:v>transport_mode_distance</x:v>
      </x:c>
      <x:c r="B13" s="12" t="n">
        <x:v>70</x:v>
      </x:c>
      <x:c r="C13" s="12" t="n">
        <x:v>0</x:v>
      </x:c>
      <x:c r="D13" s="12" t="n">
        <x:v>70</x:v>
      </x:c>
      <x:c r="E13" s="12" t="str">
        <x:v>Operações + ACV</x:v>
      </x:c>
      <x:c r="F13" s="12" t="str">
        <x:v>Média</x:v>
      </x:c>
      <x:c r="G13" s="12" t="str">
        <x:v>Registrar origem, destino, modal e distância</x:v>
      </x:c>
    </x:row>
    <x:row r="14">
      <x:c r="A14" s="12" t="str">
        <x:v>validated_evidence_id</x:v>
      </x:c>
      <x:c r="B14" s="12" t="n">
        <x:v>70</x:v>
      </x:c>
      <x:c r="C14" s="12" t="n">
        <x:v>0</x:v>
      </x:c>
      <x:c r="D14" s="12" t="n">
        <x:v>70</x:v>
      </x:c>
      <x:c r="E14" s="12" t="str">
        <x:v>Evidências</x:v>
      </x:c>
      <x:c r="F14" s="12" t="str">
        <x:v>Crítica</x:v>
      </x:c>
      <x:c r="G14" s="12" t="str">
        <x:v>Receber documento, gerar hash e Review</x:v>
      </x:c>
    </x:row>
    <x:row r="15">
      <x:c r="A15" s="12" t="str">
        <x:v>environmental_factor</x:v>
      </x:c>
      <x:c r="B15" s="12" t="n">
        <x:v>70</x:v>
      </x:c>
      <x:c r="C15" s="12" t="n">
        <x:v>0</x:v>
      </x:c>
      <x:c r="D15" s="12" t="n">
        <x:v>70</x:v>
      </x:c>
      <x:c r="E15" s="12" t="str">
        <x:v>ACV + Arquitetura</x:v>
      </x:c>
      <x:c r="F15" s="12" t="str">
        <x:v>Crítica</x:v>
      </x:c>
      <x:c r="G15" s="12" t="str">
        <x:v>Associar fator versionado após validação material</x:v>
      </x:c>
    </x:row>
    <x:row r="16">
      <x:c r="A16" s="12" t="str">
        <x:v>functional_unit</x:v>
      </x:c>
      <x:c r="B16" s="12" t="n">
        <x:v>70</x:v>
      </x:c>
      <x:c r="C16" s="12" t="n">
        <x:v>0</x:v>
      </x:c>
      <x:c r="D16" s="12" t="n">
        <x:v>70</x:v>
      </x:c>
      <x:c r="E16" s="12" t="str">
        <x:v>ACV</x:v>
      </x:c>
      <x:c r="F16" s="12" t="str">
        <x:v>Crítica</x:v>
      </x:c>
      <x:c r="G16" s="12" t="str">
        <x:v>Começar com 1 kg e 1 m²</x:v>
      </x:c>
    </x:row>
    <x:row r="17">
      <x:c r="A17" s="12" t="str">
        <x:v>system_boundary</x:v>
      </x:c>
      <x:c r="B17" s="12" t="n">
        <x:v>70</x:v>
      </x:c>
      <x:c r="C17" s="12" t="n">
        <x:v>0</x:v>
      </x:c>
      <x:c r="D17" s="12" t="n">
        <x:v>70</x:v>
      </x:c>
      <x:c r="E17" s="12" t="str">
        <x:v>ACV</x:v>
      </x:c>
      <x:c r="F17" s="12" t="str">
        <x:v>Crítica</x:v>
      </x:c>
      <x:c r="G17" s="12" t="str">
        <x:v>Registrar fronteira do cálculo</x:v>
      </x:c>
    </x:row>
    <x:row r="18">
      <x:c r="A18" s="12" t="str">
        <x:v>uncertainty_quality</x:v>
      </x:c>
      <x:c r="B18" s="12" t="n">
        <x:v>70</x:v>
      </x:c>
      <x:c r="C18" s="12" t="n">
        <x:v>0</x:v>
      </x:c>
      <x:c r="D18" s="12" t="n">
        <x:v>70</x:v>
      </x:c>
      <x:c r="E18" s="12" t="str">
        <x:v>ACV + QA</x:v>
      </x:c>
      <x:c r="F18" s="12" t="str">
        <x:v>Crítica</x:v>
      </x:c>
      <x:c r="G18" s="12" t="str">
        <x:v>Registrar qualidade A–E e intervalo/incerteza</x:v>
      </x:c>
    </x:row>
    <x:row r="19">
      <x:c r="A19" s="12" t="str">
        <x:v>supplier_specific_epd_lca</x:v>
      </x:c>
      <x:c r="B19" s="12" t="n">
        <x:v>70</x:v>
      </x:c>
      <x:c r="C19" s="12" t="n">
        <x:v>0</x:v>
      </x:c>
      <x:c r="D19" s="12" t="n">
        <x:v>70</x:v>
      </x:c>
      <x:c r="E19" s="12" t="str">
        <x:v>Operações + ACV</x:v>
      </x:c>
      <x:c r="F19" s="12" t="str">
        <x:v>Média</x:v>
      </x:c>
      <x:c r="G19" s="12" t="str">
        <x:v>Solicitar EPD/ACV/pegadas quando disponíveis</x:v>
      </x:c>
    </x:row>
  </x:sheetData>
  <x:conditionalFormatting sqref="D2:D19">
    <x:cfRule type="dataBar" priority="1">
      <x:dataBar>
        <x:cfvo type="min"/>
        <x:cfvo type="max"/>
        <x:color rgb="FFB54747"/>
      </x:dataBar>
      <x:extLst>
        <x:ext xmlns:x14="http://schemas.microsoft.com/office/spreadsheetml/2009/9/main" uri="{B025F937-C7B1-47D3-B67F-A62EFF666E3E}">
          <x14:id>{56EAB889-5839-883F-D5E4-F346C3CB0765}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e6f3e1424e0446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6EAB889-5839-883F-D5E4-F346C3CB0765}">
            <x14:dataBar gradient="1">
              <x14:cfvo type="min"/>
              <x14:cfvo type="max"/>
              <x14:fillColor rgb="FFB54747"/>
            </x14:dataBar>
          </x14:cfRule>
          <xm:sqref>D2:D19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8" hidden="0" customWidth="1"/>
    <x:col min="4" max="4" width="22" hidden="0" customWidth="1"/>
    <x:col min="5" max="5" width="12" hidden="0" customWidth="1"/>
    <x:col min="6" max="6" width="28" hidden="0" customWidth="1"/>
    <x:col min="7" max="7" width="48" hidden="0" customWidth="1"/>
  </x:cols>
  <x:sheetData>
    <x:row r="1">
      <x:c r="A1" s="66" t="str">
        <x:v>Entidade</x:v>
      </x:c>
      <x:c r="B1" s="66" t="str">
        <x:v>Campo</x:v>
      </x:c>
      <x:c r="C1" s="66" t="str">
        <x:v>Tipo</x:v>
      </x:c>
      <x:c r="D1" s="66" t="str">
        <x:v>Obrigatoriedade</x:v>
      </x:c>
      <x:c r="E1" s="66" t="str">
        <x:v>Gate</x:v>
      </x:c>
      <x:c r="F1" s="66" t="str">
        <x:v>Fonte preferencial</x:v>
      </x:c>
      <x:c r="G1" s="66" t="str">
        <x:v>Definição</x:v>
      </x:c>
    </x:row>
    <x:row r="2">
      <x:c r="A2" s="12" t="str">
        <x:v>TextileSample</x:v>
      </x:c>
      <x:c r="B2" s="12" t="str">
        <x:v>sample_id</x:v>
      </x:c>
      <x:c r="C2" s="12" t="str">
        <x:v>string</x:v>
      </x:c>
      <x:c r="D2" s="12" t="str">
        <x:v>Sim</x:v>
      </x:c>
      <x:c r="E2" s="12" t="str">
        <x:v>Gate 1</x:v>
      </x:c>
      <x:c r="F2" s="12" t="str">
        <x:v>PHYLLOS</x:v>
      </x:c>
      <x:c r="G2" s="12" t="str">
        <x:v>ID estável da amostra física</x:v>
      </x:c>
    </x:row>
    <x:row r="3">
      <x:c r="A3" s="12" t="str">
        <x:v>TextileSample</x:v>
      </x:c>
      <x:c r="B3" s="12" t="str">
        <x:v>article_id</x:v>
      </x:c>
      <x:c r="C3" s="12" t="str">
        <x:v>string</x:v>
      </x:c>
      <x:c r="D3" s="12" t="str">
        <x:v>Sim</x:v>
      </x:c>
      <x:c r="E3" s="12" t="str">
        <x:v>Gate 1</x:v>
      </x:c>
      <x:c r="F3" s="12" t="str">
        <x:v>Fornecedor/PHYLLOS</x:v>
      </x:c>
      <x:c r="G3" s="12" t="str">
        <x:v>Artigo comercial representado</x:v>
      </x:c>
    </x:row>
    <x:row r="4">
      <x:c r="A4" s="12" t="str">
        <x:v>TextileSample</x:v>
      </x:c>
      <x:c r="B4" s="12" t="str">
        <x:v>supplier_product_code</x:v>
      </x:c>
      <x:c r="C4" s="12" t="str">
        <x:v>string</x:v>
      </x:c>
      <x:c r="D4" s="12" t="str">
        <x:v>Sim</x:v>
      </x:c>
      <x:c r="E4" s="12" t="str">
        <x:v>Gate 2</x:v>
      </x:c>
      <x:c r="F4" s="12" t="str">
        <x:v>Ficha/etiqueta</x:v>
      </x:c>
      <x:c r="G4" s="12" t="str">
        <x:v>Código exato do artigo</x:v>
      </x:c>
    </x:row>
    <x:row r="5">
      <x:c r="A5" s="12" t="str">
        <x:v>TextileSample</x:v>
      </x:c>
      <x:c r="B5" s="12" t="str">
        <x:v>batch_or_lot</x:v>
      </x:c>
      <x:c r="C5" s="12" t="str">
        <x:v>string</x:v>
      </x:c>
      <x:c r="D5" s="12" t="str">
        <x:v>Desejável</x:v>
      </x:c>
      <x:c r="E5" s="12" t="str">
        <x:v>Gate 2</x:v>
      </x:c>
      <x:c r="F5" s="12" t="str">
        <x:v>Etiqueta/nota</x:v>
      </x:c>
      <x:c r="G5" s="12" t="str">
        <x:v>Lote vinculado à amostra</x:v>
      </x:c>
    </x:row>
    <x:row r="6">
      <x:c r="A6" s="12" t="str">
        <x:v>TextileSample</x:v>
      </x:c>
      <x:c r="B6" s="12" t="str">
        <x:v>received_at</x:v>
      </x:c>
      <x:c r="C6" s="12" t="str">
        <x:v>date</x:v>
      </x:c>
      <x:c r="D6" s="12" t="str">
        <x:v>Sim após recebimento</x:v>
      </x:c>
      <x:c r="E6" s="12" t="str">
        <x:v>Gate 2</x:v>
      </x:c>
      <x:c r="F6" s="12" t="str">
        <x:v>Operações</x:v>
      </x:c>
      <x:c r="G6" s="12" t="str">
        <x:v>Data de recebimento</x:v>
      </x:c>
    </x:row>
    <x:row r="7">
      <x:c r="A7" s="12" t="str">
        <x:v>TextileSample</x:v>
      </x:c>
      <x:c r="B7" s="12" t="str">
        <x:v>storage_location</x:v>
      </x:c>
      <x:c r="C7" s="12" t="str">
        <x:v>string</x:v>
      </x:c>
      <x:c r="D7" s="12" t="str">
        <x:v>Sim após recebimento</x:v>
      </x:c>
      <x:c r="E7" s="12" t="str">
        <x:v>Gate 2</x:v>
      </x:c>
      <x:c r="F7" s="12" t="str">
        <x:v>Operações</x:v>
      </x:c>
      <x:c r="G7" s="12" t="str">
        <x:v>Local físico</x:v>
      </x:c>
    </x:row>
    <x:row r="8">
      <x:c r="A8" s="12" t="str">
        <x:v>MaterialComposition</x:v>
      </x:c>
      <x:c r="B8" s="12" t="str">
        <x:v>fiber_type</x:v>
      </x:c>
      <x:c r="C8" s="12" t="str">
        <x:v>enum</x:v>
      </x:c>
      <x:c r="D8" s="12" t="str">
        <x:v>Sim</x:v>
      </x:c>
      <x:c r="E8" s="12" t="str">
        <x:v>Gate 2</x:v>
      </x:c>
      <x:c r="F8" s="12" t="str">
        <x:v>Documento verificável</x:v>
      </x:c>
      <x:c r="G8" s="12" t="str">
        <x:v>Fibra normalizada</x:v>
      </x:c>
    </x:row>
    <x:row r="9">
      <x:c r="A9" s="12" t="str">
        <x:v>MaterialComposition</x:v>
      </x:c>
      <x:c r="B9" s="12" t="str">
        <x:v>fiber_percentage</x:v>
      </x:c>
      <x:c r="C9" s="12" t="str">
        <x:v>decimal</x:v>
      </x:c>
      <x:c r="D9" s="12" t="str">
        <x:v>Sim</x:v>
      </x:c>
      <x:c r="E9" s="12" t="str">
        <x:v>Gate 2</x:v>
      </x:c>
      <x:c r="F9" s="12" t="str">
        <x:v>Documento verificável</x:v>
      </x:c>
      <x:c r="G9" s="12" t="str">
        <x:v>Percentual por componente</x:v>
      </x:c>
    </x:row>
    <x:row r="10">
      <x:c r="A10" s="12" t="str">
        <x:v>MaterialComposition</x:v>
      </x:c>
      <x:c r="B10" s="12" t="str">
        <x:v>recycled_content_percentage</x:v>
      </x:c>
      <x:c r="C10" s="12" t="str">
        <x:v>decimal</x:v>
      </x:c>
      <x:c r="D10" s="12" t="str">
        <x:v>Quando aplicável</x:v>
      </x:c>
      <x:c r="E10" s="12" t="str">
        <x:v>Gate 3</x:v>
      </x:c>
      <x:c r="F10" s="12" t="str">
        <x:v>Documento/certificação</x:v>
      </x:c>
      <x:c r="G10" s="12" t="str">
        <x:v>Percentual reciclado</x:v>
      </x:c>
    </x:row>
    <x:row r="11">
      <x:c r="A11" s="12" t="str">
        <x:v>MaterialComposition</x:v>
      </x:c>
      <x:c r="B11" s="12" t="str">
        <x:v>recycled_origin</x:v>
      </x:c>
      <x:c r="C11" s="12" t="str">
        <x:v>enum</x:v>
      </x:c>
      <x:c r="D11" s="12" t="str">
        <x:v>Quando aplicável</x:v>
      </x:c>
      <x:c r="E11" s="12" t="str">
        <x:v>Gate 3</x:v>
      </x:c>
      <x:c r="F11" s="12" t="str">
        <x:v>Documento</x:v>
      </x:c>
      <x:c r="G11" s="12" t="str">
        <x:v>pré/pós-consumo</x:v>
      </x:c>
    </x:row>
    <x:row r="12">
      <x:c r="A12" s="12" t="str">
        <x:v>PhysicalProperty</x:v>
      </x:c>
      <x:c r="B12" s="12" t="str">
        <x:v>gsm</x:v>
      </x:c>
      <x:c r="C12" s="12" t="str">
        <x:v>decimal</x:v>
      </x:c>
      <x:c r="D12" s="12" t="str">
        <x:v>Sim</x:v>
      </x:c>
      <x:c r="E12" s="12" t="str">
        <x:v>Gate 2</x:v>
      </x:c>
      <x:c r="F12" s="12" t="str">
        <x:v>Ficha/ensaio</x:v>
      </x:c>
      <x:c r="G12" s="12" t="str">
        <x:v>Gramatura em g/m²</x:v>
      </x:c>
    </x:row>
    <x:row r="13">
      <x:c r="A13" s="12" t="str">
        <x:v>PhysicalProperty</x:v>
      </x:c>
      <x:c r="B13" s="12" t="str">
        <x:v>usable_width_cm</x:v>
      </x:c>
      <x:c r="C13" s="12" t="str">
        <x:v>decimal</x:v>
      </x:c>
      <x:c r="D13" s="12" t="str">
        <x:v>Sim para cálculo por área</x:v>
      </x:c>
      <x:c r="E13" s="12" t="str">
        <x:v>Gate 3</x:v>
      </x:c>
      <x:c r="F13" s="12" t="str">
        <x:v>Ficha/medição</x:v>
      </x:c>
      <x:c r="G13" s="12" t="str">
        <x:v>Largura útil</x:v>
      </x:c>
    </x:row>
    <x:row r="14">
      <x:c r="A14" s="12" t="str">
        <x:v>PhysicalProperty</x:v>
      </x:c>
      <x:c r="B14" s="12" t="str">
        <x:v>thickness_mm</x:v>
      </x:c>
      <x:c r="C14" s="12" t="str">
        <x:v>decimal</x:v>
      </x:c>
      <x:c r="D14" s="12" t="str">
        <x:v>Quando aplicável</x:v>
      </x:c>
      <x:c r="E14" s="12" t="str">
        <x:v>Gate 3</x:v>
      </x:c>
      <x:c r="F14" s="12" t="str">
        <x:v>Ensaio/medição</x:v>
      </x:c>
      <x:c r="G14" s="12" t="str">
        <x:v>Espessura</x:v>
      </x:c>
    </x:row>
    <x:row r="15">
      <x:c r="A15" s="12" t="str">
        <x:v>PhysicalProperty</x:v>
      </x:c>
      <x:c r="B15" s="12" t="str">
        <x:v>elongation_percentage</x:v>
      </x:c>
      <x:c r="C15" s="12" t="str">
        <x:v>decimal</x:v>
      </x:c>
      <x:c r="D15" s="12" t="str">
        <x:v>Quando aplicável</x:v>
      </x:c>
      <x:c r="E15" s="12" t="str">
        <x:v>Gate 3</x:v>
      </x:c>
      <x:c r="F15" s="12" t="str">
        <x:v>Ensaio</x:v>
      </x:c>
      <x:c r="G15" s="12" t="str">
        <x:v>Alongamento</x:v>
      </x:c>
    </x:row>
    <x:row r="16">
      <x:c r="A16" s="12" t="str">
        <x:v>ManufacturingProcess</x:v>
      </x:c>
      <x:c r="B16" s="12" t="str">
        <x:v>process_type</x:v>
      </x:c>
      <x:c r="C16" s="12" t="str">
        <x:v>enum</x:v>
      </x:c>
      <x:c r="D16" s="12" t="str">
        <x:v>Sim por etapa conhecida</x:v>
      </x:c>
      <x:c r="E16" s="12" t="str">
        <x:v>Gate 4</x:v>
      </x:c>
      <x:c r="F16" s="12" t="str">
        <x:v>Fornecedor</x:v>
      </x:c>
      <x:c r="G16" s="12" t="str">
        <x:v>Fiação, formação, tingimento etc.</x:v>
      </x:c>
    </x:row>
    <x:row r="17">
      <x:c r="A17" s="12" t="str">
        <x:v>ManufacturingProcess</x:v>
      </x:c>
      <x:c r="B17" s="12" t="str">
        <x:v>technology</x:v>
      </x:c>
      <x:c r="C17" s="12" t="str">
        <x:v>string</x:v>
      </x:c>
      <x:c r="D17" s="12" t="str">
        <x:v>Desejável</x:v>
      </x:c>
      <x:c r="E17" s="12" t="str">
        <x:v>Gate 4</x:v>
      </x:c>
      <x:c r="F17" s="12" t="str">
        <x:v>Fornecedor/base secundária</x:v>
      </x:c>
      <x:c r="G17" s="12" t="str">
        <x:v>Tecnologia específica</x:v>
      </x:c>
    </x:row>
    <x:row r="18">
      <x:c r="A18" s="12" t="str">
        <x:v>SupplyChainStage</x:v>
      </x:c>
      <x:c r="B18" s="12" t="str">
        <x:v>country</x:v>
      </x:c>
      <x:c r="C18" s="12" t="str">
        <x:v>ISO-3166</x:v>
      </x:c>
      <x:c r="D18" s="12" t="str">
        <x:v>Sim quando conhecido</x:v>
      </x:c>
      <x:c r="E18" s="12" t="str">
        <x:v>Gate 4</x:v>
      </x:c>
      <x:c r="F18" s="12" t="str">
        <x:v>Fornecedor</x:v>
      </x:c>
      <x:c r="G18" s="12" t="str">
        <x:v>País da etapa</x:v>
      </x:c>
    </x:row>
    <x:row r="19">
      <x:c r="A19" s="12" t="str">
        <x:v>SupplyChainStage</x:v>
      </x:c>
      <x:c r="B19" s="12" t="str">
        <x:v>facility</x:v>
      </x:c>
      <x:c r="C19" s="12" t="str">
        <x:v>string</x:v>
      </x:c>
      <x:c r="D19" s="12" t="str">
        <x:v>Desejável</x:v>
      </x:c>
      <x:c r="E19" s="12" t="str">
        <x:v>Gate 4</x:v>
      </x:c>
      <x:c r="F19" s="12" t="str">
        <x:v>Fornecedor</x:v>
      </x:c>
      <x:c r="G19" s="12" t="str">
        <x:v>Instalação produtiva</x:v>
      </x:c>
    </x:row>
    <x:row r="20">
      <x:c r="A20" s="12" t="str">
        <x:v>SupplyChainStage</x:v>
      </x:c>
      <x:c r="B20" s="12" t="str">
        <x:v>distance_km</x:v>
      </x:c>
      <x:c r="C20" s="12" t="str">
        <x:v>decimal</x:v>
      </x:c>
      <x:c r="D20" s="12" t="str">
        <x:v>Quando transportado</x:v>
      </x:c>
      <x:c r="E20" s="12" t="str">
        <x:v>Gate 4</x:v>
      </x:c>
      <x:c r="F20" s="12" t="str">
        <x:v>Logística</x:v>
      </x:c>
      <x:c r="G20" s="12" t="str">
        <x:v>Distância</x:v>
      </x:c>
    </x:row>
    <x:row r="21">
      <x:c r="A21" s="12" t="str">
        <x:v>SupplyChainStage</x:v>
      </x:c>
      <x:c r="B21" s="12" t="str">
        <x:v>transport_mode</x:v>
      </x:c>
      <x:c r="C21" s="12" t="str">
        <x:v>enum</x:v>
      </x:c>
      <x:c r="D21" s="12" t="str">
        <x:v>Quando transportado</x:v>
      </x:c>
      <x:c r="E21" s="12" t="str">
        <x:v>Gate 4</x:v>
      </x:c>
      <x:c r="F21" s="12" t="str">
        <x:v>Logística</x:v>
      </x:c>
      <x:c r="G21" s="12" t="str">
        <x:v>Rodoviário, marítimo etc.</x:v>
      </x:c>
    </x:row>
    <x:row r="22">
      <x:c r="A22" s="12" t="str">
        <x:v>Evidence</x:v>
      </x:c>
      <x:c r="B22" s="12" t="str">
        <x:v>evidence_id</x:v>
      </x:c>
      <x:c r="C22" s="12" t="str">
        <x:v>string</x:v>
      </x:c>
      <x:c r="D22" s="12" t="str">
        <x:v>Sim para dado confirmado</x:v>
      </x:c>
      <x:c r="E22" s="12" t="str">
        <x:v>Todos</x:v>
      </x:c>
      <x:c r="F22" s="12" t="str">
        <x:v>PHYLLOS</x:v>
      </x:c>
      <x:c r="G22" s="12" t="str">
        <x:v>ID da evidência</x:v>
      </x:c>
    </x:row>
    <x:row r="23">
      <x:c r="A23" s="12" t="str">
        <x:v>Evidence</x:v>
      </x:c>
      <x:c r="B23" s="12" t="str">
        <x:v>artifact_hash</x:v>
      </x:c>
      <x:c r="C23" s="12" t="str">
        <x:v>sha256</x:v>
      </x:c>
      <x:c r="D23" s="12" t="str">
        <x:v>Sim</x:v>
      </x:c>
      <x:c r="E23" s="12" t="str">
        <x:v>Todos</x:v>
      </x:c>
      <x:c r="F23" s="12" t="str">
        <x:v>Arquivo</x:v>
      </x:c>
      <x:c r="G23" s="12" t="str">
        <x:v>Integridade do artefato</x:v>
      </x:c>
    </x:row>
    <x:row r="24">
      <x:c r="A24" s="12" t="str">
        <x:v>Evidence</x:v>
      </x:c>
      <x:c r="B24" s="12" t="str">
        <x:v>source_type</x:v>
      </x:c>
      <x:c r="C24" s="12" t="str">
        <x:v>enum</x:v>
      </x:c>
      <x:c r="D24" s="12" t="str">
        <x:v>Sim</x:v>
      </x:c>
      <x:c r="E24" s="12" t="str">
        <x:v>Todos</x:v>
      </x:c>
      <x:c r="F24" s="12" t="str">
        <x:v>Revisão</x:v>
      </x:c>
      <x:c r="G24" s="12" t="str">
        <x:v>Primário, secundário, proxy etc.</x:v>
      </x:c>
    </x:row>
    <x:row r="25">
      <x:c r="A25" s="12" t="str">
        <x:v>DataQualityAssessment</x:v>
      </x:c>
      <x:c r="B25" s="12" t="str">
        <x:v>quality_level</x:v>
      </x:c>
      <x:c r="C25" s="12" t="str">
        <x:v>enum A-E</x:v>
      </x:c>
      <x:c r="D25" s="12" t="str">
        <x:v>Sim</x:v>
      </x:c>
      <x:c r="E25" s="12" t="str">
        <x:v>Gate 3</x:v>
      </x:c>
      <x:c r="F25" s="12" t="str">
        <x:v>Revisão</x:v>
      </x:c>
      <x:c r="G25" s="12" t="str">
        <x:v>Qualidade metodológica</x:v>
      </x:c>
    </x:row>
    <x:row r="26">
      <x:c r="A26" s="12" t="str">
        <x:v>EnvironmentalFactor</x:v>
      </x:c>
      <x:c r="B26" s="12" t="str">
        <x:v>impact_category</x:v>
      </x:c>
      <x:c r="C26" s="12" t="str">
        <x:v>enum</x:v>
      </x:c>
      <x:c r="D26" s="12" t="str">
        <x:v>Sim</x:v>
      </x:c>
      <x:c r="E26" s="12" t="str">
        <x:v>Gate 3</x:v>
      </x:c>
      <x:c r="F26" s="12" t="str">
        <x:v>Base ACV</x:v>
      </x:c>
      <x:c r="G26" s="12" t="str">
        <x:v>GWP, água, energia etc.</x:v>
      </x:c>
    </x:row>
    <x:row r="27">
      <x:c r="A27" s="12" t="str">
        <x:v>EnvironmentalFactor</x:v>
      </x:c>
      <x:c r="B27" s="12" t="str">
        <x:v>factor_value</x:v>
      </x:c>
      <x:c r="C27" s="12" t="str">
        <x:v>decimal</x:v>
      </x:c>
      <x:c r="D27" s="12" t="str">
        <x:v>Sim</x:v>
      </x:c>
      <x:c r="E27" s="12" t="str">
        <x:v>Gate 3</x:v>
      </x:c>
      <x:c r="F27" s="12" t="str">
        <x:v>Base ACV</x:v>
      </x:c>
      <x:c r="G27" s="12" t="str">
        <x:v>Valor do fator</x:v>
      </x:c>
    </x:row>
    <x:row r="28">
      <x:c r="A28" s="12" t="str">
        <x:v>EnvironmentalFactor</x:v>
      </x:c>
      <x:c r="B28" s="12" t="str">
        <x:v>factor_unit</x:v>
      </x:c>
      <x:c r="C28" s="12" t="str">
        <x:v>string</x:v>
      </x:c>
      <x:c r="D28" s="12" t="str">
        <x:v>Sim</x:v>
      </x:c>
      <x:c r="E28" s="12" t="str">
        <x:v>Gate 3</x:v>
      </x:c>
      <x:c r="F28" s="12" t="str">
        <x:v>Base ACV</x:v>
      </x:c>
      <x:c r="G28" s="12" t="str">
        <x:v>Unidade do fator</x:v>
      </x:c>
    </x:row>
    <x:row r="29">
      <x:c r="A29" s="12" t="str">
        <x:v>EnvironmentalFactor</x:v>
      </x:c>
      <x:c r="B29" s="12" t="str">
        <x:v>geographic_scope</x:v>
      </x:c>
      <x:c r="C29" s="12" t="str">
        <x:v>string</x:v>
      </x:c>
      <x:c r="D29" s="12" t="str">
        <x:v>Sim</x:v>
      </x:c>
      <x:c r="E29" s="12" t="str">
        <x:v>Gate 3</x:v>
      </x:c>
      <x:c r="F29" s="12" t="str">
        <x:v>Base ACV</x:v>
      </x:c>
      <x:c r="G29" s="12" t="str">
        <x:v>Escopo geográfico</x:v>
      </x:c>
    </x:row>
    <x:row r="30">
      <x:c r="A30" s="12" t="str">
        <x:v>EnvironmentalFactor</x:v>
      </x:c>
      <x:c r="B30" s="12" t="str">
        <x:v>temporal_scope</x:v>
      </x:c>
      <x:c r="C30" s="12" t="str">
        <x:v>string</x:v>
      </x:c>
      <x:c r="D30" s="12" t="str">
        <x:v>Sim</x:v>
      </x:c>
      <x:c r="E30" s="12" t="str">
        <x:v>Gate 3</x:v>
      </x:c>
      <x:c r="F30" s="12" t="str">
        <x:v>Base ACV</x:v>
      </x:c>
      <x:c r="G30" s="12" t="str">
        <x:v>Ano/período</x:v>
      </x:c>
    </x:row>
    <x:row r="31">
      <x:c r="A31" s="12" t="str">
        <x:v>EnvironmentalFactor</x:v>
      </x:c>
      <x:c r="B31" s="12" t="str">
        <x:v>source_version</x:v>
      </x:c>
      <x:c r="C31" s="12" t="str">
        <x:v>string</x:v>
      </x:c>
      <x:c r="D31" s="12" t="str">
        <x:v>Sim</x:v>
      </x:c>
      <x:c r="E31" s="12" t="str">
        <x:v>Gate 3</x:v>
      </x:c>
      <x:c r="F31" s="12" t="str">
        <x:v>Base ACV</x:v>
      </x:c>
      <x:c r="G31" s="12" t="str">
        <x:v>Versão reproduzível</x:v>
      </x:c>
    </x:row>
    <x:row r="32">
      <x:c r="A32" s="12" t="str">
        <x:v>ImpactCalculation</x:v>
      </x:c>
      <x:c r="B32" s="12" t="str">
        <x:v>functional_unit</x:v>
      </x:c>
      <x:c r="C32" s="12" t="str">
        <x:v>enum</x:v>
      </x:c>
      <x:c r="D32" s="12" t="str">
        <x:v>Sim</x:v>
      </x:c>
      <x:c r="E32" s="12" t="str">
        <x:v>Gate 3</x:v>
      </x:c>
      <x:c r="F32" s="12" t="str">
        <x:v>Metodologia</x:v>
      </x:c>
      <x:c r="G32" s="12" t="str">
        <x:v>1 kg, 1 m² ou peça</x:v>
      </x:c>
    </x:row>
    <x:row r="33">
      <x:c r="A33" s="12" t="str">
        <x:v>ImpactCalculation</x:v>
      </x:c>
      <x:c r="B33" s="12" t="str">
        <x:v>system_boundary</x:v>
      </x:c>
      <x:c r="C33" s="12" t="str">
        <x:v>enum/string</x:v>
      </x:c>
      <x:c r="D33" s="12" t="str">
        <x:v>Sim</x:v>
      </x:c>
      <x:c r="E33" s="12" t="str">
        <x:v>Gate 3</x:v>
      </x:c>
      <x:c r="F33" s="12" t="str">
        <x:v>Metodologia</x:v>
      </x:c>
      <x:c r="G33" s="12" t="str">
        <x:v>Berço-portão etc.</x:v>
      </x:c>
    </x:row>
    <x:row r="34">
      <x:c r="A34" s="12" t="str">
        <x:v>ImpactCalculation</x:v>
      </x:c>
      <x:c r="B34" s="12" t="str">
        <x:v>result</x:v>
      </x:c>
      <x:c r="C34" s="12" t="str">
        <x:v>decimal</x:v>
      </x:c>
      <x:c r="D34" s="12" t="str">
        <x:v>Sim</x:v>
      </x:c>
      <x:c r="E34" s="12" t="str">
        <x:v>Gate 3</x:v>
      </x:c>
      <x:c r="F34" s="12" t="str">
        <x:v>Cálculo</x:v>
      </x:c>
      <x:c r="G34" s="12" t="str">
        <x:v>Resultado</x:v>
      </x:c>
    </x:row>
    <x:row r="35">
      <x:c r="A35" s="12" t="str">
        <x:v>ImpactCalculation</x:v>
      </x:c>
      <x:c r="B35" s="12" t="str">
        <x:v>uncertainty_range</x:v>
      </x:c>
      <x:c r="C35" s="12" t="str">
        <x:v>string/decimal</x:v>
      </x:c>
      <x:c r="D35" s="12" t="str">
        <x:v>Sim</x:v>
      </x:c>
      <x:c r="E35" s="12" t="str">
        <x:v>Gate 3</x:v>
      </x:c>
      <x:c r="F35" s="12" t="str">
        <x:v>Metodologia</x:v>
      </x:c>
      <x:c r="G35" s="12" t="str">
        <x:v>Faixa ou parâmetro</x:v>
      </x:c>
    </x:row>
    <x:row r="36">
      <x:c r="A36" s="12" t="str">
        <x:v>ImpactCalculation</x:v>
      </x:c>
      <x:c r="B36" s="12" t="str">
        <x:v>calculation_status</x:v>
      </x:c>
      <x:c r="C36" s="12" t="str">
        <x:v>enum</x:v>
      </x:c>
      <x:c r="D36" s="12" t="str">
        <x:v>Sim quando houver cálculo</x:v>
      </x:c>
      <x:c r="E36" s="12" t="str">
        <x:v>Gate 3</x:v>
      </x:c>
      <x:c r="F36" s="12" t="str">
        <x:v>Sistema/Revisão</x:v>
      </x:c>
      <x:c r="G36" s="12" t="str">
        <x:v>experimental, reviewed, approved_for_internal_use ou approved_for_publication</x:v>
      </x:c>
    </x:row>
    <x:row r="37">
      <x:c r="A37" s="12" t="str">
        <x:v>EnvironmentalProfile</x:v>
      </x:c>
      <x:c r="B37" s="12" t="str">
        <x:v>calculability_status</x:v>
      </x:c>
      <x:c r="C37" s="12" t="str">
        <x:v>enum</x:v>
      </x:c>
      <x:c r="D37" s="12" t="str">
        <x:v>Sim</x:v>
      </x:c>
      <x:c r="E37" s="12" t="str">
        <x:v>Gate 1</x:v>
      </x:c>
      <x:c r="F37" s="12" t="str">
        <x:v>Sistema</x:v>
      </x:c>
      <x:c r="G37" s="12" t="str">
        <x:v>not_calculable, material_estimate_only, secondary_estimate, process_adjusted_estimate, supplier_specific_estimate ou verified_environmental_profile</x:v>
      </x:c>
    </x:row>
    <x:row r="38">
      <x:c r="A38" s="12" t="str">
        <x:v>EnvironmentalProfile</x:v>
      </x:c>
      <x:c r="B38" s="12" t="str">
        <x:v>calculability_review_status</x:v>
      </x:c>
      <x:c r="C38" s="12" t="str">
        <x:v>enum</x:v>
      </x:c>
      <x:c r="D38" s="12" t="str">
        <x:v>Sim</x:v>
      </x:c>
      <x:c r="E38" s="12" t="str">
        <x:v>Todos</x:v>
      </x:c>
      <x:c r="F38" s="12" t="str">
        <x:v>Revisão humana</x:v>
      </x:c>
      <x:c r="G38" s="12" t="str">
        <x:v>not_applicable, pending_human_review, reviewed, approved ou rejected; cálculo é bloqueado enquanto pendente</x:v>
      </x:c>
    </x:row>
    <x:row r="39">
      <x:c r="A39" s="12" t="str">
        <x:v>ReferenceValidation</x:v>
      </x:c>
      <x:c r="B39" s="12" t="str">
        <x:v>internal_reference_status</x:v>
      </x:c>
      <x:c r="C39" s="12" t="str">
        <x:v>enum</x:v>
      </x:c>
      <x:c r="D39" s="12" t="str">
        <x:v>Sim na validação</x:v>
      </x:c>
      <x:c r="E39" s="12" t="str">
        <x:v>Todos</x:v>
      </x:c>
      <x:c r="F39" s="12" t="str">
        <x:v>Validador semântico</x:v>
      </x:c>
      <x:c r="G39" s="12" t="str">
        <x:v>Valida evidence_id/evidence_ids e factor_ids contra os IDs declarados no próprio perfil</x:v>
      </x:c>
    </x:row>
  </x:sheetData>
  <x:pageMargins left="0.7" right="0.7" top="0.75" bottom="0.75" header="0.3" footer="0.3"/>
  <x:tableParts count="1">
    <x:tablePart xmlns:r="http://schemas.openxmlformats.org/officeDocument/2006/relationships" r:id="Rd13e6a0df283409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42" hidden="0" customWidth="1"/>
    <x:col min="5" max="5" width="34" hidden="0" customWidth="1"/>
    <x:col min="6" max="6" width="16" hidden="0" customWidth="1"/>
    <x:col min="7" max="7" width="24" hidden="0" customWidth="1"/>
    <x:col min="8" max="8" width="48" hidden="0" customWidth="1"/>
  </x:cols>
  <x:sheetData>
    <x:row r="1">
      <x:c r="A1" s="66" t="str">
        <x:v>Task ID</x:v>
      </x:c>
      <x:c r="B1" s="66" t="str">
        <x:v>Fase</x:v>
      </x:c>
      <x:c r="C1" s="66" t="str">
        <x:v>Agente</x:v>
      </x:c>
      <x:c r="D1" s="66" t="str">
        <x:v>Ação</x:v>
      </x:c>
      <x:c r="E1" s="66" t="str">
        <x:v>Entregável</x:v>
      </x:c>
      <x:c r="F1" s="66" t="str">
        <x:v>Status</x:v>
      </x:c>
      <x:c r="G1" s="66" t="str">
        <x:v>Dependências</x:v>
      </x:c>
      <x:c r="H1" s="66" t="str">
        <x:v>Critério de aceite</x:v>
      </x:c>
    </x:row>
    <x:row r="2">
      <x:c r="A2" s="12" t="str">
        <x:v>ENV-001</x:v>
      </x:c>
      <x:c r="B2" s="12" t="str">
        <x:v>Fase 1</x:v>
      </x:c>
      <x:c r="C2" s="12" t="str">
        <x:v>Arquitetura de Dados</x:v>
      </x:c>
      <x:c r="D2" s="12" t="str">
        <x:v>Aprovar modelo lógico e entidades ambientais</x:v>
      </x:c>
      <x:c r="E2" s="12" t="str">
        <x:v>environmental-data-model-v0.1</x:v>
      </x:c>
      <x:c r="F2" s="12" t="str">
        <x:v>Em andamento</x:v>
      </x:c>
      <x:c r="G2" s="12" t="str">
        <x:v>Nenhuma</x:v>
      </x:c>
      <x:c r="H2" s="12" t="str">
        <x:v>IDs, cardinalidade e versionamento definidos</x:v>
      </x:c>
    </x:row>
    <x:row r="3">
      <x:c r="A3" s="12" t="str">
        <x:v>ENV-002</x:v>
      </x:c>
      <x:c r="B3" s="12" t="str">
        <x:v>Fase 1</x:v>
      </x:c>
      <x:c r="C3" s="12" t="str">
        <x:v>Engenharia de Dados</x:v>
      </x:c>
      <x:c r="D3" s="12" t="str">
        <x:v>Revisar parser das 70 amostras</x:v>
      </x:c>
      <x:c r="E3" s="12" t="str">
        <x:v>phyllos-samples-enriched-v1.2</x:v>
      </x:c>
      <x:c r="F3" s="12" t="str">
        <x:v>Em andamento</x:v>
      </x:c>
      <x:c r="G3" s="12" t="str">
        <x:v>ENV-001</x:v>
      </x:c>
      <x:c r="H3" s="12" t="str">
        <x:v>100% dos valores originais preservados</x:v>
      </x:c>
    </x:row>
    <x:row r="4">
      <x:c r="A4" s="12" t="str">
        <x:v>ENV-003</x:v>
      </x:c>
      <x:c r="B4" s="12" t="str">
        <x:v>Fase 1</x:v>
      </x:c>
      <x:c r="C4" s="12" t="str">
        <x:v>Especialista Têxtil</x:v>
      </x:c>
      <x:c r="D4" s="12" t="str">
        <x:v>Validar 17 amostras com menção de composição</x:v>
      </x:c>
      <x:c r="E4" s="12" t="str">
        <x:v>composition-review-v0.1</x:v>
      </x:c>
      <x:c r="F4" s="12" t="str">
        <x:v>Pendente</x:v>
      </x:c>
      <x:c r="G4" s="12" t="str">
        <x:v>ENV-002</x:v>
      </x:c>
      <x:c r="H4" s="12" t="str">
        <x:v>Fibra e percentual aprovados ou rejeitados</x:v>
      </x:c>
    </x:row>
    <x:row r="5">
      <x:c r="A5" s="12" t="str">
        <x:v>ENV-004</x:v>
      </x:c>
      <x:c r="B5" s="12" t="str">
        <x:v>Fase 1</x:v>
      </x:c>
      <x:c r="C5" s="12" t="str">
        <x:v>Evidências</x:v>
      </x:c>
      <x:c r="D5" s="12" t="str">
        <x:v>Classificar fontes e documentos atuais</x:v>
      </x:c>
      <x:c r="E5" s="12" t="str">
        <x:v>evidence-gap-register-v0.1</x:v>
      </x:c>
      <x:c r="F5" s="12" t="str">
        <x:v>Pendente</x:v>
      </x:c>
      <x:c r="G5" s="12" t="str">
        <x:v>ENV-002</x:v>
      </x:c>
      <x:c r="H5" s="12" t="str">
        <x:v>Nenhuma página comercial tratada como Evidence validada</x:v>
      </x:c>
    </x:row>
    <x:row r="6">
      <x:c r="A6" s="12" t="str">
        <x:v>ENV-005</x:v>
      </x:c>
      <x:c r="B6" s="12" t="str">
        <x:v>Fase 2</x:v>
      </x:c>
      <x:c r="C6" s="12" t="str">
        <x:v>Operações</x:v>
      </x:c>
      <x:c r="D6" s="12" t="str">
        <x:v>Solicitar composição, gramatura, lote e cadeia aos fornecedores</x:v>
      </x:c>
      <x:c r="E6" s="12" t="str">
        <x:v>supplier-contact-log-v0.1</x:v>
      </x:c>
      <x:c r="F6" s="12" t="str">
        <x:v>Pendente</x:v>
      </x:c>
      <x:c r="G6" s="12" t="str">
        <x:v>ENV-003, ENV-004</x:v>
      </x:c>
      <x:c r="H6" s="12" t="str">
        <x:v>Protocolos registrados para as 70 candidatas</x:v>
      </x:c>
    </x:row>
    <x:row r="7">
      <x:c r="A7" s="12" t="str">
        <x:v>ENV-006</x:v>
      </x:c>
      <x:c r="B7" s="12" t="str">
        <x:v>Fase 2</x:v>
      </x:c>
      <x:c r="C7" s="12" t="str">
        <x:v>Impacto Ambiental / ACV</x:v>
      </x:c>
      <x:c r="D7" s="12" t="str">
        <x:v>Definir unidade funcional, fronteira e categorias</x:v>
      </x:c>
      <x:c r="E7" s="12" t="str">
        <x:v>environmental-calculation-method-v0.1</x:v>
      </x:c>
      <x:c r="F7" s="12" t="str">
        <x:v>Pendente</x:v>
      </x:c>
      <x:c r="G7" s="12" t="str">
        <x:v>ENV-001</x:v>
      </x:c>
      <x:c r="H7" s="12" t="str">
        <x:v>Metodologia aprovada e versionada</x:v>
      </x:c>
    </x:row>
    <x:row r="8">
      <x:c r="A8" s="12" t="str">
        <x:v>ENV-007</x:v>
      </x:c>
      <x:c r="B8" s="12" t="str">
        <x:v>Fase 2</x:v>
      </x:c>
      <x:c r="C8" s="12" t="str">
        <x:v>Impacto Ambiental / ACV</x:v>
      </x:c>
      <x:c r="D8" s="12" t="str">
        <x:v>Montar catálogo inicial de fatores</x:v>
      </x:c>
      <x:c r="E8" s="12" t="str">
        <x:v>environmental-factor-catalog-v0.1</x:v>
      </x:c>
      <x:c r="F8" s="12" t="str">
        <x:v>Pendente</x:v>
      </x:c>
      <x:c r="G8" s="12" t="str">
        <x:v>ENV-006</x:v>
      </x:c>
      <x:c r="H8" s="12" t="str">
        <x:v>Fatores com fonte, região, ano, unidade e qualidade</x:v>
      </x:c>
    </x:row>
    <x:row r="9">
      <x:c r="A9" s="12" t="str">
        <x:v>ENV-008</x:v>
      </x:c>
      <x:c r="B9" s="12" t="str">
        <x:v>Fase 3</x:v>
      </x:c>
      <x:c r="C9" s="12" t="str">
        <x:v>Backend</x:v>
      </x:c>
      <x:c r="D9" s="12" t="str">
        <x:v>Implementar entidades e migrations</x:v>
      </x:c>
      <x:c r="E9" s="12" t="str">
        <x:v>migration.sql + APIs</x:v>
      </x:c>
      <x:c r="F9" s="12" t="str">
        <x:v>Bloqueado</x:v>
      </x:c>
      <x:c r="G9" s="12" t="str">
        <x:v>ENV-001, ENV-006</x:v>
      </x:c>
      <x:c r="H9" s="12" t="str">
        <x:v>Testes de persistência e auditoria aprovados</x:v>
      </x:c>
    </x:row>
    <x:row r="10">
      <x:c r="A10" s="12" t="str">
        <x:v>ENV-009</x:v>
      </x:c>
      <x:c r="B10" s="12" t="str">
        <x:v>Fase 3</x:v>
      </x:c>
      <x:c r="C10" s="12" t="str">
        <x:v>Produto / Frontend</x:v>
      </x:c>
      <x:c r="D10" s="12" t="str">
        <x:v>Implementar formulários e estados de qualidade</x:v>
      </x:c>
      <x:c r="E10" s="12" t="str">
        <x:v>environmental-ui-v0.1</x:v>
      </x:c>
      <x:c r="F10" s="12" t="str">
        <x:v>Bloqueado</x:v>
      </x:c>
      <x:c r="G10" s="12" t="str">
        <x:v>ENV-001, ENV-006</x:v>
      </x:c>
      <x:c r="H10" s="12" t="str">
        <x:v>Não apresentar proxy como impacto real</x:v>
      </x:c>
    </x:row>
    <x:row r="11">
      <x:c r="A11" s="12" t="str">
        <x:v>ENV-010</x:v>
      </x:c>
      <x:c r="B11" s="12" t="str">
        <x:v>Fase 4</x:v>
      </x:c>
      <x:c r="C11" s="12" t="str">
        <x:v>QA / Data Quality</x:v>
      </x:c>
      <x:c r="D11" s="12" t="str">
        <x:v>Executar testes de completude e cálculo</x:v>
      </x:c>
      <x:c r="E11" s="12" t="str">
        <x:v>test-environmental-data-model.py</x:v>
      </x:c>
      <x:c r="F11" s="12" t="str">
        <x:v>Bloqueado</x:v>
      </x:c>
      <x:c r="G11" s="12" t="str">
        <x:v>ENV-007, ENV-008</x:v>
      </x:c>
      <x:c r="H11" s="12" t="str">
        <x:v>Sem inconsistências críticas e cálculo reproduzível</x:v>
      </x:c>
    </x:row>
    <x:row r="12">
      <x:c r="A12" t="str">
        <x:v>ENV-011</x:v>
      </x:c>
      <x:c r="B12" t="str">
        <x:v>Fase 1</x:v>
      </x:c>
      <x:c r="C12" t="str">
        <x:v>Data Platform / QA</x:v>
      </x:c>
      <x:c r="D12" t="str">
        <x:v>Implementar integridade referencial semântica</x:v>
      </x:c>
      <x:c r="E12" t="str">
        <x:v>validate_environmental_profile_v0.2.py</x:v>
      </x:c>
      <x:c r="F12" t="str">
        <x:v>Concluído</x:v>
      </x:c>
      <x:c r="G12" t="str">
        <x:v>Schema v0.2</x:v>
      </x:c>
      <x:c r="H12" t="str">
        <x:v>evidence_id/evidence_ids e factor_ids sem referências órfãs</x:v>
      </x:c>
    </x:row>
  </x:sheetData>
  <x:conditionalFormatting sqref="F2:F11">
    <x:cfRule type="expression" dxfId="9" priority="1">
      <x:formula>F2="Concluído"</x:formula>
    </x:cfRule>
    <x:cfRule type="expression" dxfId="10" priority="2">
      <x:formula>F2="Bloqueado"</x:formula>
    </x:cfRule>
    <x:cfRule type="expression" dxfId="11" priority="3">
      <x:formula>F2="Em andamento"</x:formula>
    </x:cfRule>
  </x:conditionalFormatting>
  <x:dataValidations count="1">
    <x:dataValidation type="list" sqref="F2:F11">
      <x:formula1>"Pendente,Em andamento,Bloqueado,Concluído,Rejeitado"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dccc14843244ca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93" t="str">
        <x:v>PHYLLOS — Regras de Validação Semântica v0.3</x:v>
      </x:c>
      <x:c r="B1" s="93"/>
      <x:c r="C1" s="93"/>
      <x:c r="D1" s="93"/>
      <x:c r="E1" s="93"/>
      <x:c r="F1" s="93"/>
    </x:row>
    <x:row r="3">
      <x:c r="A3" s="98" t="str">
        <x:v>Regra ID</x:v>
      </x:c>
      <x:c r="B3" s="98" t="str">
        <x:v>Referência</x:v>
      </x:c>
      <x:c r="C3" s="98" t="str">
        <x:v>Destino esperado</x:v>
      </x:c>
      <x:c r="D3" s="98" t="str">
        <x:v>Aplicação</x:v>
      </x:c>
      <x:c r="E3" s="98" t="str">
        <x:v>Erro</x:v>
      </x:c>
      <x:c r="F3" s="98" t="str">
        <x:v>Status</x:v>
      </x:c>
    </x:row>
    <x:row r="4">
      <x:c r="A4" s="12" t="str">
        <x:v>SEM-001</x:v>
      </x:c>
      <x:c r="B4" s="12" t="str">
        <x:v>composition.components[].evidence_id</x:v>
      </x:c>
      <x:c r="C4" s="12" t="str">
        <x:v>evidence[].evidence_id</x:v>
      </x:c>
      <x:c r="D4" s="12" t="str">
        <x:v>Quando não nulo</x:v>
      </x:c>
      <x:c r="E4" s="12" t="str">
        <x:v>dangling_evidence_reference</x:v>
      </x:c>
      <x:c r="F4" s="12" t="str">
        <x:v>Implementada</x:v>
      </x:c>
    </x:row>
    <x:row r="5">
      <x:c r="A5" s="12" t="str">
        <x:v>SEM-002</x:v>
      </x:c>
      <x:c r="B5" s="12" t="str">
        <x:v>physical_properties.evidence_ids[]</x:v>
      </x:c>
      <x:c r="C5" s="12" t="str">
        <x:v>evidence[].evidence_id</x:v>
      </x:c>
      <x:c r="D5" s="12" t="str">
        <x:v>Para cada ID</x:v>
      </x:c>
      <x:c r="E5" s="12" t="str">
        <x:v>dangling_evidence_reference</x:v>
      </x:c>
      <x:c r="F5" s="12" t="str">
        <x:v>Implementada</x:v>
      </x:c>
    </x:row>
    <x:row r="6">
      <x:c r="A6" s="12" t="str">
        <x:v>SEM-003</x:v>
      </x:c>
      <x:c r="B6" s="12" t="str">
        <x:v>supply_chain[].evidence_ids[]</x:v>
      </x:c>
      <x:c r="C6" s="12" t="str">
        <x:v>evidence[].evidence_id</x:v>
      </x:c>
      <x:c r="D6" s="12" t="str">
        <x:v>Para cada ID</x:v>
      </x:c>
      <x:c r="E6" s="12" t="str">
        <x:v>dangling_evidence_reference</x:v>
      </x:c>
      <x:c r="F6" s="12" t="str">
        <x:v>Implementada</x:v>
      </x:c>
    </x:row>
    <x:row r="7">
      <x:c r="A7" s="12" t="str">
        <x:v>SEM-004</x:v>
      </x:c>
      <x:c r="B7" s="12" t="str">
        <x:v>calculations[].factor_ids[]</x:v>
      </x:c>
      <x:c r="C7" s="12" t="str">
        <x:v>environmental_factors[].factor_id</x:v>
      </x:c>
      <x:c r="D7" s="12" t="str">
        <x:v>Para cada ID</x:v>
      </x:c>
      <x:c r="E7" s="12" t="str">
        <x:v>dangling_factor_reference</x:v>
      </x:c>
      <x:c r="F7" s="12" t="str">
        <x:v>Implementada</x:v>
      </x:c>
    </x:row>
    <x:row r="8">
      <x:c r="A8" s="12" t="str">
        <x:v>SEM-005</x:v>
      </x:c>
      <x:c r="B8" s="12" t="str">
        <x:v>evidence[].evidence_id</x:v>
      </x:c>
      <x:c r="C8" s="12" t="str">
        <x:v>Conjunto único</x:v>
      </x:c>
      <x:c r="D8" s="12" t="str">
        <x:v>Todos os perfis</x:v>
      </x:c>
      <x:c r="E8" s="12" t="str">
        <x:v>duplicate_evidence_id</x:v>
      </x:c>
      <x:c r="F8" s="12" t="str">
        <x:v>Implementada</x:v>
      </x:c>
    </x:row>
    <x:row r="9">
      <x:c r="A9" s="12" t="str">
        <x:v>SEM-006</x:v>
      </x:c>
      <x:c r="B9" s="12" t="str">
        <x:v>environmental_factors[].factor_id</x:v>
      </x:c>
      <x:c r="C9" s="12" t="str">
        <x:v>Conjunto único</x:v>
      </x:c>
      <x:c r="D9" s="12" t="str">
        <x:v>Todos os perfis</x:v>
      </x:c>
      <x:c r="E9" s="12" t="str">
        <x:v>duplicate_factor_id</x:v>
      </x:c>
      <x:c r="F9" s="12" t="str">
        <x:v>Implementada</x:v>
      </x:c>
    </x:row>
    <x:row r="10">
      <x:c r="A10" s="12" t="str">
        <x:v>SEM-007</x:v>
      </x:c>
      <x:c r="B10" s="12" t="str">
        <x:v>calculations[].factor_ids[]</x:v>
      </x:c>
      <x:c r="C10" s="12" t="str">
        <x:v>Referências únicas por cálculo</x:v>
      </x:c>
      <x:c r="D10" s="12" t="str">
        <x:v>Para cada cálculo</x:v>
      </x:c>
      <x:c r="E10" s="12" t="str">
        <x:v>duplicate_factor_reference</x:v>
      </x:c>
      <x:c r="F10" s="12" t="str">
        <x:v>Implementada</x:v>
      </x:c>
    </x:row>
    <x:row r="11">
      <x:c r="A11" t="str">
        <x:v>SEM-008</x:v>
      </x:c>
      <x:c r="B11" t="str">
        <x:v>calculability_review_status</x:v>
      </x:c>
      <x:c r="C11" t="str">
        <x:v>Gate de cálculo</x:v>
      </x:c>
      <x:c r="D11" t="str">
        <x:v>pending/rejected/not_applicable</x:v>
      </x:c>
      <x:c r="E11" t="str">
        <x:v>calculations_not_allowed</x:v>
      </x:c>
      <x:c r="F11" t="str">
        <x:v>Implementada</x:v>
      </x:c>
    </x:row>
    <x:row r="12">
      <x:c r="A12" s="101" t="str">
        <x:v>Observação: JSON Schema valida estrutura e condicionais locais. A integridade referencial entre arrays é validada pelo script validate_environmental_profile_v0.2.py.</x:v>
      </x:c>
      <x:c r="B12" s="101"/>
      <x:c r="C12" s="101"/>
      <x:c r="D12" s="101"/>
      <x:c r="E12" s="101"/>
      <x:c r="F12" s="101"/>
    </x:row>
    <x:row r="13" ht="42" customHeight="1">
      <x:c r="A13" s="12" t="str">
        <x:v>Observação: JSON Schema valida estrutura e condicionais locais. A integridade referencial e duplicidades são validadas por validate_environmental_profile_v0_3.py. Dependência: jsonschema&gt;=4.18,&lt;5.</x:v>
      </x:c>
      <x:c r="B13" s="12"/>
      <x:c r="C13" s="12"/>
      <x:c r="D13" s="12"/>
      <x:c r="E13" s="12"/>
      <x:c r="F13" s="12"/>
    </x:row>
  </x:sheetData>
  <x:mergeCells>
    <x:mergeCell ref="A1:F1"/>
    <x:mergeCell ref="A12:F12"/>
    <x:mergeCell ref="A13:F1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" hidden="0" customWidth="1"/>
    <x:col min="4" max="4" width="32" hidden="0" customWidth="1"/>
    <x:col min="5" max="5" width="18" hidden="0" customWidth="1"/>
    <x:col min="6" max="6" width="36" hidden="0" customWidth="1"/>
  </x:cols>
  <x:sheetData>
    <x:row r="1" ht="30" customHeight="1">
      <x:c r="A1" s="105" t="str">
        <x:v>PHYLLOS — Validação de Distribuição v0.3</x:v>
      </x:c>
      <x:c r="B1" s="105"/>
      <x:c r="C1" s="105"/>
      <x:c r="D1" s="105"/>
      <x:c r="E1" s="105"/>
      <x:c r="F1" s="105"/>
    </x:row>
    <x:row r="3">
      <x:c r="A3" s="110" t="str">
        <x:v>Item</x:v>
      </x:c>
      <x:c r="B3" s="110" t="str">
        <x:v>Resultado</x:v>
      </x:c>
      <x:c r="C3" s="12"/>
      <x:c r="D3" s="110" t="str">
        <x:v>Cobertura ampliada</x:v>
      </x:c>
      <x:c r="E3" s="110" t="str">
        <x:v>Resultado</x:v>
      </x:c>
      <x:c r="F3" s="110" t="str">
        <x:v>Observação</x:v>
      </x:c>
    </x:row>
    <x:row r="4">
      <x:c r="A4" s="12" t="str">
        <x:v>Dependência declarada</x:v>
      </x:c>
      <x:c r="B4" s="12" t="str">
        <x:v>jsonschema&gt;=4.18,&lt;5</x:v>
      </x:c>
      <x:c r="C4" s="12"/>
      <x:c r="D4" s="12" t="str">
        <x:v>Fator inexistente</x:v>
      </x:c>
      <x:c r="E4" s="12" t="str">
        <x:v>Aprovado</x:v>
      </x:c>
      <x:c r="F4" s="12" t="str">
        <x:v>Referência órfã rejeitada</x:v>
      </x:c>
    </x:row>
    <x:row r="5">
      <x:c r="A5" s="12" t="str">
        <x:v>Ambiente de validação</x:v>
      </x:c>
      <x:c r="B5" s="12" t="str">
        <x:v>venv limpa, sem system-site-packages</x:v>
      </x:c>
      <x:c r="C5" s="12"/>
      <x:c r="D5" s="12" t="str">
        <x:v>Fator duplicado</x:v>
      </x:c>
      <x:c r="E5" s="12" t="str">
        <x:v>Aprovado</x:v>
      </x:c>
      <x:c r="F5" s="12" t="str">
        <x:v>ID duplicado rejeitado</x:v>
      </x:c>
    </x:row>
    <x:row r="6">
      <x:c r="A6" s="12" t="str">
        <x:v>Python</x:v>
      </x:c>
      <x:c r="B6" s="12" t="str">
        <x:v>3.13.5</x:v>
      </x:c>
      <x:c r="C6" s="12"/>
      <x:c r="D6" s="12" t="str">
        <x:v>Referência de fator duplicada</x:v>
      </x:c>
      <x:c r="E6" s="12" t="str">
        <x:v>Aprovado</x:v>
      </x:c>
      <x:c r="F6" s="12" t="str">
        <x:v>Duplicidade no cálculo rejeitada</x:v>
      </x:c>
    </x:row>
    <x:row r="7">
      <x:c r="A7" s="12" t="str">
        <x:v>jsonschema instalado</x:v>
      </x:c>
      <x:c r="B7" s="12" t="str">
        <x:v>4.26.0</x:v>
      </x:c>
      <x:c r="C7" s="12"/>
      <x:c r="D7" s="12" t="str">
        <x:v>Evidência duplicada</x:v>
      </x:c>
      <x:c r="E7" s="12" t="str">
        <x:v>Aprovado</x:v>
      </x:c>
      <x:c r="F7" s="12" t="str">
        <x:v>ID duplicado rejeitado</x:v>
      </x:c>
    </x:row>
    <x:row r="8">
      <x:c r="A8" s="12" t="str">
        <x:v>Testes executados</x:v>
      </x:c>
      <x:c r="B8" s="12" t="n">
        <x:v>16</x:v>
      </x:c>
      <x:c r="C8" s="12"/>
      <x:c r="D8" s="12" t="str">
        <x:v>supplier_specific_estimate</x:v>
      </x:c>
      <x:c r="E8" s="12" t="str">
        <x:v>Aprovado</x:v>
      </x:c>
      <x:c r="F8" s="12" t="str">
        <x:v>Casos positivos e negativos</x:v>
      </x:c>
    </x:row>
    <x:row r="9">
      <x:c r="A9" s="12" t="str">
        <x:v>Falhas</x:v>
      </x:c>
      <x:c r="B9" s="12" t="n">
        <x:v>0</x:v>
      </x:c>
      <x:c r="C9" s="12"/>
      <x:c r="D9" s="12" t="str">
        <x:v>verified_environmental_profile</x:v>
      </x:c>
      <x:c r="E9" s="12" t="str">
        <x:v>Aprovado</x:v>
      </x:c>
      <x:c r="F9" s="12" t="str">
        <x:v>Autenticidade, relevância e qualidade</x:v>
      </x:c>
    </x:row>
    <x:row r="10">
      <x:c r="A10" s="12" t="str">
        <x:v>Status</x:v>
      </x:c>
      <x:c r="B10" s="12" t="str">
        <x:v>APROVADO PARA DISTRIBUIÇÃO TÉCNICA</x:v>
      </x:c>
      <x:c r="C10" s="12"/>
      <x:c r="D10" s="12" t="str">
        <x:v>calculability_review_status</x:v>
      </x:c>
      <x:c r="E10" s="12" t="str">
        <x:v>Aprovado</x:v>
      </x:c>
      <x:c r="F10" s="12" t="str">
        <x:v>Todos os cinco estados cobertos</x:v>
      </x:c>
    </x:row>
    <x:row r="11">
      <x:c r="A11" s="12"/>
      <x:c r="B11" s="12"/>
      <x:c r="C11" s="12"/>
      <x:c r="D11" s="12" t="str">
        <x:v>Casos provisórios</x:v>
      </x:c>
      <x:c r="E11" s="12" t="str">
        <x:v>Mantidos</x:v>
      </x:c>
      <x:c r="F11" s="12" t="str">
        <x:v>7 em pending_human_review; calculations vazio</x:v>
      </x:c>
    </x:row>
    <x:row r="13" ht="48" customHeight="1">
      <x:c r="A13" s="12" t="str">
        <x:v>Decisão: o pacote está pronto para implementação estrutural e coleta. Cálculos oficiais, publicação de impactos e alegações ambientais continuam bloqueados até revisão humana, evidências válidas e metodologia aprovada.</x:v>
      </x:c>
      <x:c r="B13" s="12"/>
      <x:c r="C13" s="12"/>
      <x:c r="D13" s="12"/>
      <x:c r="E13" s="12"/>
      <x:c r="F13" s="12"/>
    </x:row>
  </x:sheetData>
  <x:mergeCells>
    <x:mergeCell ref="A1:F1"/>
    <x:mergeCell ref="A13:F13"/>
  </x:mergeCells>
  <x:pageMargins left="0.7" right="0.7" top="0.75" bottom="0.75" header="0.3" footer="0.3"/>
</x:worksheet>
</file>