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0cc9a70ea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8290b704fa44fd"/>
    <x:sheet xmlns:r="http://schemas.openxmlformats.org/officeDocument/2006/relationships" name="Registro de Amostras" sheetId="2" r:id="R26c09cbdf7904082"/>
    <x:sheet xmlns:r="http://schemas.openxmlformats.org/officeDocument/2006/relationships" name="Matriz de Diversidade" sheetId="3" r:id="R6b51da3d18b64409"/>
    <x:sheet xmlns:r="http://schemas.openxmlformats.org/officeDocument/2006/relationships" name="Protocolo de Coleta" sheetId="4" r:id="R6f6bb082cbf24c75"/>
    <x:sheet xmlns:r="http://schemas.openxmlformats.org/officeDocument/2006/relationships" name="Checklist Evidências" sheetId="5" r:id="R66dce800ea7243a1"/>
    <x:sheet xmlns:r="http://schemas.openxmlformats.org/officeDocument/2006/relationships" name="Contato Fornecedores" sheetId="6" r:id="R864b4f9b732143ab"/>
    <x:sheet xmlns:r="http://schemas.openxmlformats.org/officeDocument/2006/relationships" name="Listas" sheetId="7" r:id="Re7fe4338ee984c30"/>
    <x:sheet xmlns:r="http://schemas.openxmlformats.org/officeDocument/2006/relationships" name="Lacunas e Leads" sheetId="8" r:id="Rc2750373fd774268"/>
    <x:sheet xmlns:r="http://schemas.openxmlformats.org/officeDocument/2006/relationships" name="Onda 1" sheetId="9" r:id="Rd5ade7f79b7d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8"/>
      <x:color rgb="FFFFFFFF"/>
      <x:name val="Aptos"/>
    </x:font>
    <x:font>
      <x:b/>
      <x:sz val="16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B3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CE8E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EE4CC"/>
        </x:patternFill>
      </x:fill>
    </x:dxf>
    <x:dxf>
      <x:font>
        <x:b/>
      </x:font>
      <x:fill>
        <x:patternFill patternType="solid">
          <x:bgColor rgb="FFDCE8E2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a6e633e364f99" /><Relationship Type="http://schemas.openxmlformats.org/officeDocument/2006/relationships/theme" Target="/xl/theme/theme1.xml" Id="R40c42b13e4034022" /><Relationship Type="http://schemas.openxmlformats.org/officeDocument/2006/relationships/sharedStrings" Target="/xl/sharedStrings.xml" Id="Rdcbc634ed0e74a18" /><Relationship Type="http://schemas.openxmlformats.org/officeDocument/2006/relationships/worksheet" Target="/xl/worksheets/sheet1.xml" Id="R8d8290b704fa44fd" /><Relationship Type="http://schemas.openxmlformats.org/officeDocument/2006/relationships/worksheet" Target="/xl/worksheets/sheet2.xml" Id="R26c09cbdf7904082" /><Relationship Type="http://schemas.openxmlformats.org/officeDocument/2006/relationships/worksheet" Target="/xl/worksheets/sheet3.xml" Id="R6b51da3d18b64409" /><Relationship Type="http://schemas.openxmlformats.org/officeDocument/2006/relationships/worksheet" Target="/xl/worksheets/sheet4.xml" Id="R6f6bb082cbf24c75" /><Relationship Type="http://schemas.openxmlformats.org/officeDocument/2006/relationships/worksheet" Target="/xl/worksheets/sheet5.xml" Id="R66dce800ea7243a1" /><Relationship Type="http://schemas.openxmlformats.org/officeDocument/2006/relationships/worksheet" Target="/xl/worksheets/sheet6.xml" Id="R864b4f9b732143ab" /><Relationship Type="http://schemas.openxmlformats.org/officeDocument/2006/relationships/worksheet" Target="/xl/worksheets/sheet7.xml" Id="Re7fe4338ee984c30" /><Relationship Type="http://schemas.openxmlformats.org/officeDocument/2006/relationships/worksheet" Target="/xl/worksheets/sheet8.xml" Id="Rc2750373fd774268" /><Relationship Type="http://schemas.openxmlformats.org/officeDocument/2006/relationships/worksheet" Target="/xl/worksheets/sheet9.xml" Id="Rd5ade7f79b7d41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45c4aff47e4c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planejada por família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'Matriz de Diversidade'!$A$1:$A$8</c:f>
              <c:strCache>
                <c:ptCount val="0"/>
              </c:strCache>
            </c:strRef>
          </c:cat>
          <c:val>
            <c:numRef>
              <c:f>'Matriz de Diversidade'!$B$1:$B$8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45c4aff47e4c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rationsRegistryV111" displayName="OperationsRegistryV111" ref="A1:AD71" headerRowCount="1">
  <x:tableColumns count="30">
    <x:tableColumn id="1" name="ID da amostra"/>
    <x:tableColumn id="2" name="Fornecedor"/>
    <x:tableColumn id="3" name="Produto / amostra alvo"/>
    <x:tableColumn id="4" name="Família estrutural alvo"/>
    <x:tableColumn id="5" name="Construção / diversidade alvo"/>
    <x:tableColumn id="6" name="Disponibilidade documental"/>
    <x:tableColumn id="7" name="Fonte oficial"/>
    <x:tableColumn id="8" name="Prioridade"/>
    <x:tableColumn id="9" name="Geografia"/>
    <x:tableColumn id="10" name="Canal de aquisição"/>
    <x:tableColumn id="11" name="Status físico"/>
    <x:tableColumn id="12" name="Status documento"/>
    <x:tableColumn id="13" name="Status intake"/>
    <x:tableColumn id="14" name="Responsável"/>
    <x:tableColumn id="15" name="Qtd. planejada"/>
    <x:tableColumn id="16" name="Data recebimento"/>
    <x:tableColumn id="17" name="Arquivo documental"/>
    <x:tableColumn id="18" name="Hash da evidência"/>
    <x:tableColumn id="19" name="Status revisão"/>
    <x:tableColumn id="20" name="Observações"/>
    <x:tableColumn id="21" name="Dimension Revision ID"/>
    <x:tableColumn id="22" name="Family Concept Revision ID"/>
    <x:tableColumn id="23" name="Construction Concept Revision IDs"/>
    <x:tableColumn id="24" name="Mapping Status"/>
    <x:tableColumn id="25" name="TextileSample Node ID"/>
    <x:tableColumn id="26" name="Evidence IDs"/>
    <x:tableColumn id="27" name="Assertion IDs"/>
    <x:tableColumn id="28" name="Review IDs"/>
    <x:tableColumn id="29" name="PublicationDecision IDs"/>
    <x:tableColumn id="30" name="Onda de solicit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ede95b79a64f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f3de4f58e74c31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48" hidden="0" customWidth="1"/>
    <x:col min="4" max="4" width="28" hidden="0" customWidth="1"/>
    <x:col min="5" max="5" width="20" hidden="0" customWidth="1"/>
    <x:col min="6" max="6" width="27" hidden="0" customWidth="1"/>
  </x:cols>
  <x:sheetData>
    <x:row r="1">
      <x:c r="A1" s="50" t="str">
        <x:v>PHYLLOS — Operations Coleta v1.1.1</x:v>
      </x:c>
      <x:c r="B1" s="50"/>
      <x:c r="C1" s="50"/>
      <x:c r="D1" s="50"/>
      <x:c r="E1" s="50"/>
      <x:c r="F1" s="50"/>
      <x:c r="G1" s="50"/>
      <x:c r="H1" s="50"/>
      <x:c r="I1" s="37"/>
      <x:c r="J1" s="37"/>
      <x:c r="K1" s="37"/>
      <x:c r="L1" s="37"/>
      <x:c r="M1" s="37"/>
      <x:c r="N1" s="37"/>
    </x:row>
    <x:row r="2">
      <x:c r="A2" s="50"/>
      <x:c r="B2" s="50"/>
      <x:c r="C2" s="50"/>
      <x:c r="D2" s="50"/>
      <x:c r="E2" s="50"/>
      <x:c r="F2" s="50"/>
      <x:c r="G2" s="50"/>
      <x:c r="H2" s="50"/>
      <x:c r="I2" s="37"/>
      <x:c r="J2" s="37"/>
      <x:c r="K2" s="37"/>
      <x:c r="L2" s="37"/>
      <x:c r="M2" s="37"/>
      <x:c r="N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</x:row>
    <x:row r="4">
      <x:c r="A4" s="38" t="str">
        <x:v>Indicador</x:v>
      </x:c>
      <x:c r="B4" s="38" t="str">
        <x:v>Valor</x:v>
      </x:c>
      <x:c r="C4" s="37"/>
      <x:c r="D4" s="38" t="str">
        <x:v>Indicador</x:v>
      </x:c>
      <x:c r="E4" s="38" t="str">
        <x:v>Valor</x:v>
      </x:c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A5" s="37" t="str">
        <x:v>Candidatas no lote</x:v>
      </x:c>
      <x:c r="B5" s="37" t="n">
        <x:v>70</x:v>
      </x:c>
      <x:c r="C5" s="37"/>
      <x:c r="D5" s="37" t="str">
        <x:v>Documentos validados</x:v>
      </x:c>
      <x:c r="E5" s="37" t="n">
        <x:f>COUNTIF('Registro de Amostras'!$L$2:$L$71,"Documento validado")</x:f>
        <x:v>0</x:v>
      </x:c>
      <x:c r="F5" s="37"/>
      <x:c r="G5" s="37"/>
      <x:c r="H5" s="37"/>
      <x:c r="I5" s="37"/>
      <x:c r="J5" s="37"/>
      <x:c r="K5" s="37"/>
      <x:c r="L5" s="37"/>
      <x:c r="M5" s="37"/>
      <x:c r="N5" s="37"/>
    </x:row>
    <x:row r="6">
      <x:c r="A6" s="37" t="str">
        <x:v>Meta mínima</x:v>
      </x:c>
      <x:c r="B6" s="37" t="n">
        <x:v>50</x:v>
      </x:c>
      <x:c r="C6" s="37"/>
      <x:c r="D6" s="37" t="str">
        <x:v>Amostras aceitas</x:v>
      </x:c>
      <x:c r="E6" s="37" t="n">
        <x:f>COUNTIF('Registro de Amostras'!$M$2:$M$71,"Aceita")</x:f>
        <x:v>0</x:v>
      </x:c>
      <x:c r="F6" s="37"/>
      <x:c r="G6" s="37"/>
      <x:c r="H6" s="37"/>
      <x:c r="I6" s="37"/>
      <x:c r="J6" s="37"/>
      <x:c r="K6" s="37"/>
      <x:c r="L6" s="37"/>
      <x:c r="M6" s="37"/>
      <x:c r="N6" s="37"/>
    </x:row>
    <x:row r="7">
      <x:c r="A7" s="37" t="str">
        <x:v>Meta recomendada</x:v>
      </x:c>
      <x:c r="B7" s="37" t="n">
        <x:v>70</x:v>
      </x:c>
      <x:c r="C7" s="37"/>
      <x:c r="D7" s="37" t="str">
        <x:v>Em revisão</x:v>
      </x:c>
      <x:c r="E7" s="37" t="n">
        <x:f>COUNTIF('Registro de Amostras'!$S$2:$S$71,"Em revisão")</x:f>
        <x:v>0</x:v>
      </x:c>
      <x:c r="F7" s="37"/>
      <x:c r="G7" s="37"/>
      <x:c r="H7" s="37"/>
      <x:c r="I7" s="37"/>
      <x:c r="J7" s="37"/>
      <x:c r="K7" s="37"/>
      <x:c r="L7" s="37"/>
      <x:c r="M7" s="37"/>
      <x:c r="N7" s="37"/>
    </x:row>
    <x:row r="8">
      <x:c r="A8" s="37" t="str">
        <x:v>Meta máxima</x:v>
      </x:c>
      <x:c r="B8" s="37" t="n">
        <x:v>100</x:v>
      </x:c>
      <x:c r="C8" s="37"/>
      <x:c r="D8" s="37" t="str">
        <x:v>Pendentes de solicitação</x:v>
      </x:c>
      <x:c r="E8" s="37" t="n">
        <x:f>COUNTIF('Registro de Amostras'!$K$2:$K$71,"A solicitar")</x:f>
        <x:v>70</x:v>
      </x:c>
      <x:c r="F8" s="37"/>
      <x:c r="G8" s="37"/>
      <x:c r="H8" s="37"/>
      <x:c r="I8" s="37"/>
      <x:c r="J8" s="37"/>
      <x:c r="K8" s="37"/>
      <x:c r="L8" s="37"/>
      <x:c r="M8" s="37"/>
      <x:c r="N8" s="37"/>
    </x:row>
    <x:row r="9">
      <x:c r="A9" s="37" t="str">
        <x:v>Amostras recebidas</x:v>
      </x:c>
      <x:c r="B9" s="37" t="n">
        <x:f>COUNTIF('Registro de Amostras'!$K$2:$K$71,"Recebida")</x:f>
        <x:v>0</x:v>
      </x:c>
      <x:c r="C9" s="37"/>
      <x:c r="D9" s="37" t="str">
        <x:v>Famílias cobertas</x:v>
      </x:c>
      <x:c r="E9" s="37" t="n">
        <x:v>5</x:v>
      </x:c>
      <x:c r="F9" s="37"/>
      <x:c r="G9" s="37"/>
      <x:c r="H9" s="37"/>
      <x:c r="I9" s="37"/>
      <x:c r="J9" s="37"/>
      <x:c r="K9" s="37"/>
      <x:c r="L9" s="37"/>
      <x:c r="M9" s="37"/>
      <x:c r="N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</x:row>
    <x:row r="12">
      <x:c r="A12" s="38" t="str">
        <x:v>Gate de aceitação</x:v>
      </x:c>
      <x:c r="B12" s="38" t="str">
        <x:v>Obrigatório</x:v>
      </x:c>
      <x:c r="C12" s="38" t="str">
        <x:v>Descrição</x:v>
      </x:c>
      <x:c r="D12" s="38" t="str">
        <x:v>Concentração das aceitas</x:v>
      </x:c>
      <x:c r="E12" s="38" t="str">
        <x:v>Valor</x:v>
      </x:c>
      <x:c r="F12" s="38" t="str">
        <x:v>Gate</x:v>
      </x:c>
      <x:c r="G12" s="37"/>
      <x:c r="H12" s="37"/>
      <x:c r="I12" s="37"/>
      <x:c r="J12" s="37"/>
      <x:c r="K12" s="37"/>
      <x:c r="L12" s="37"/>
      <x:c r="M12" s="37"/>
      <x:c r="N12" s="37"/>
    </x:row>
    <x:row r="13">
      <x:c r="A13" s="39" t="str">
        <x:v>Amostra física recebida</x:v>
      </x:c>
      <x:c r="B13" s="39" t="str">
        <x:v>Sim</x:v>
      </x:c>
      <x:c r="C13" s="39" t="str">
        <x:v>Retalho ou corpo de prova identificado</x:v>
      </x:c>
      <x:c r="D13" s="39" t="str">
        <x:v>Total de aceitas</x:v>
      </x:c>
      <x:c r="E13" s="39" t="n">
        <x:f>COUNTIF('Registro de Amostras'!$M$2:$M$71,"Aceita")</x:f>
        <x:v>0</x:v>
      </x:c>
      <x:c r="F13" s="39" t="str">
        <x:v>Calculado sobre status Aceita</x:v>
      </x:c>
      <x:c r="G13" s="37"/>
      <x:c r="H13" s="37"/>
      <x:c r="I13" s="37"/>
      <x:c r="J13" s="37"/>
      <x:c r="K13" s="37"/>
      <x:c r="L13" s="37"/>
      <x:c r="M13" s="37"/>
      <x:c r="N13" s="37"/>
    </x:row>
    <x:row r="14">
      <x:c r="A14" s="39" t="str">
        <x:v>Código do artigo</x:v>
      </x:c>
      <x:c r="B14" s="39" t="str">
        <x:v>Sim</x:v>
      </x:c>
      <x:c r="C14" s="39" t="str">
        <x:v>Vincula amostra e documento</x:v>
      </x:c>
      <x:c r="D14" s="39" t="str">
        <x:v>Maior concentração</x:v>
      </x:c>
      <x:c r="E14" s="40" t="n">
        <x:f>IF(E13=0,0,MAX('Matriz de Diversidade'!$D$12:$D$17))</x:f>
        <x:v>0</x:v>
      </x:c>
      <x:c r="F14" s="39" t="str">
        <x:f>IF(E13=0,"Não aplicável",IF(E14&lt;=E15,"Aprovado","Revisar portfólio"))</x:f>
        <x:v>Não aplicável</x:v>
      </x:c>
      <x:c r="G14" s="37"/>
      <x:c r="H14" s="37"/>
      <x:c r="I14" s="37"/>
      <x:c r="J14" s="37"/>
      <x:c r="K14" s="37"/>
      <x:c r="L14" s="37"/>
      <x:c r="M14" s="37"/>
      <x:c r="N14" s="37"/>
    </x:row>
    <x:row r="15">
      <x:c r="A15" s="39" t="str">
        <x:v>Evidence com hash SHA-256</x:v>
      </x:c>
      <x:c r="B15" s="39" t="str">
        <x:v>Sim</x:v>
      </x:c>
      <x:c r="C15" s="39" t="str">
        <x:v>Integridade do artefato</x:v>
      </x:c>
      <x:c r="D15" s="39" t="str">
        <x:v>Limite</x:v>
      </x:c>
      <x:c r="E15" s="41" t="n">
        <x:v>0.35</x:v>
      </x:c>
      <x:c r="F15" s="39" t="str">
        <x:v>Máximo por fornecedor</x:v>
      </x:c>
      <x:c r="G15" s="37"/>
      <x:c r="H15" s="37"/>
      <x:c r="I15" s="37"/>
      <x:c r="J15" s="37"/>
      <x:c r="K15" s="37"/>
      <x:c r="L15" s="37"/>
      <x:c r="M15" s="37"/>
      <x:c r="N15" s="37"/>
    </x:row>
    <x:row r="16">
      <x:c r="A16" s="39" t="str">
        <x:v>Assertion</x:v>
      </x:c>
      <x:c r="B16" s="39" t="str">
        <x:v>Sim</x:v>
      </x:c>
      <x:c r="C16" s="39" t="str">
        <x:v>Aponta para revisão taxonômica</x:v>
      </x:c>
      <x:c r="D16" s="39" t="str">
        <x:v>Resultado</x:v>
      </x:c>
      <x:c r="E16" s="39" t="str">
        <x:f>IF(E13=0,"N/A — sem aceitas",IF(E14&lt;=E15,"Dentro do limite","BLOQUEIO &gt;35%"))</x:f>
        <x:v>N/A — sem aceitas</x:v>
      </x:c>
      <x:c r="F16" s="39"/>
      <x:c r="G16" s="37"/>
      <x:c r="H16" s="37"/>
      <x:c r="I16" s="37"/>
      <x:c r="J16" s="37"/>
      <x:c r="K16" s="37"/>
      <x:c r="L16" s="37"/>
      <x:c r="M16" s="37"/>
      <x:c r="N16" s="37"/>
    </x:row>
    <x:row r="17">
      <x:c r="A17" s="39" t="str">
        <x:v>Review</x:v>
      </x:c>
      <x:c r="B17" s="39" t="str">
        <x:v>Sim</x:v>
      </x:c>
      <x:c r="C17" s="39" t="str">
        <x:v>Aceita ou corrige uma Assertion</x:v>
      </x:c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</x:row>
    <x:row r="18">
      <x:c r="A18" s="39" t="str">
        <x:v>DatasetIntakeDecision</x:v>
      </x:c>
      <x:c r="B18" s="39" t="str">
        <x:v>Sim</x:v>
      </x:c>
      <x:c r="C18" s="39" t="str">
        <x:v>Decisão explícita e versionada</x:v>
      </x:c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</x:row>
    <x:row r="19">
      <x:c r="A19" s="39" t="str">
        <x:v>PublicationDecision</x:v>
      </x:c>
      <x:c r="B19" s="39" t="str">
        <x:v>Quando publicar</x:v>
      </x:c>
      <x:c r="C19" s="39" t="str">
        <x:v>Separada da entrada no conjunto ouro</x:v>
      </x:c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</x:row>
    <x:row r="21">
      <x:c r="A21" s="38" t="str">
        <x:v>Cobertura pendente</x:v>
      </x:c>
      <x:c r="B21" s="38" t="str">
        <x:v>Planejado</x:v>
      </x:c>
      <x:c r="C21" s="38" t="str">
        <x:v>Status</x:v>
      </x:c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</x:row>
    <x:row r="22">
      <x:c r="A22" s="39" t="str">
        <x:v>malha_urdume</x:v>
      </x:c>
      <x:c r="B22" s="39" t="n">
        <x:v>0</x:v>
      </x:c>
      <x:c r="C22" s="39" t="str">
        <x:v>Lacuna — 3 leads técnicos</x:v>
      </x:c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</x:row>
    <x:row r="23">
      <x:c r="A23" s="39" t="str">
        <x:v>costurado_stitch_bonded</x:v>
      </x:c>
      <x:c r="B23" s="39" t="n">
        <x:v>0</x:v>
      </x:c>
      <x:c r="C23" s="39" t="str">
        <x:v>Lacuna — 2 leads técnicos</x:v>
      </x:c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</x:row>
    <x:row r="24">
      <x:c r="A24" s="39" t="str">
        <x:v>Ondas preparadas</x:v>
      </x:c>
      <x:c r="B24" s="39" t="n">
        <x:v>4</x:v>
      </x:c>
      <x:c r="C24" s="39" t="str">
        <x:v>prepared_not_sent</x:v>
      </x:c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</x:row>
    <x:row r="25">
      <x:c r="A25" s="39" t="str">
        <x:v>Contrato do grafo</x:v>
      </x:c>
      <x:c r="B25" s="39" t="str">
        <x:v>0.4.1</x:v>
      </x:c>
      <x:c r="C25" s="39" t="str">
        <x:v>Conectado</x:v>
      </x:c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</x:row>
  </x:sheetData>
  <x:mergeCells>
    <x:mergeCell ref="A1:H2"/>
  </x:mergeCells>
  <x:conditionalFormatting sqref="E16:F16">
    <x:cfRule type="expression" dxfId="0" priority="1">
      <x:formula>OR(E16="BLOQUEIO &gt;35%",F16="Revisar portfólio")</x:formula>
    </x:cfRule>
  </x:conditionalFormatting>
  <x:pageMargins left="0.7" right="0.7" top="0.75" bottom="0.75" header="0.3" footer="0.3"/>
  <x:drawing xmlns:r="http://schemas.openxmlformats.org/officeDocument/2006/relationships" r:id="R40ede95b79a64fcf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5" hidden="0" customWidth="1"/>
    <x:col min="4" max="4" width="20" hidden="0" customWidth="1"/>
    <x:col min="5" max="5" width="28" hidden="0" customWidth="1"/>
    <x:col min="6" max="6" width="34" hidden="0" customWidth="1"/>
    <x:col min="7" max="7" width="38" hidden="0" customWidth="1"/>
    <x:col min="8" max="8" width="12" hidden="0" customWidth="1"/>
    <x:col min="9" max="9" width="14" hidden="0" customWidth="1"/>
    <x:col min="10" max="10" width="30" hidden="0" customWidth="1"/>
    <x:col min="11" max="11" width="14" hidden="0" customWidth="1"/>
    <x:col min="12" max="12" width="19" hidden="0" customWidth="1"/>
    <x:col min="13" max="13" width="16" hidden="0" customWidth="1"/>
    <x:col min="14" max="14" width="14" hidden="0" customWidth="1"/>
    <x:col min="15" max="15" width="12" hidden="0" customWidth="1"/>
    <x:col min="16" max="16" width="16" hidden="0" customWidth="1"/>
    <x:col min="17" max="17" width="22" hidden="0" customWidth="1"/>
    <x:col min="18" max="18" width="22" hidden="0" customWidth="1"/>
    <x:col min="19" max="19" width="16" hidden="0" customWidth="1"/>
    <x:col min="20" max="20" width="38" hidden="0" customWidth="1"/>
    <x:col min="21" max="21" width="36" hidden="0" customWidth="1"/>
    <x:col min="22" max="22" width="46" hidden="0" customWidth="1"/>
    <x:col min="23" max="23" width="54" hidden="0" customWidth="1"/>
    <x:col min="24" max="24" width="24" hidden="0" customWidth="1"/>
    <x:col min="25" max="25" width="32" hidden="0" customWidth="1"/>
    <x:col min="26" max="26" width="24" hidden="0" customWidth="1"/>
    <x:col min="27" max="27" width="24" hidden="0" customWidth="1"/>
    <x:col min="28" max="28" width="24" hidden="0" customWidth="1"/>
    <x:col min="29" max="29" width="28" hidden="0" customWidth="1"/>
    <x:col min="30" max="30" width="28" hidden="0" customWidth="1"/>
  </x:cols>
  <x:sheetData>
    <x:row r="1">
      <x:c r="A1" s="38" t="str">
        <x:v>ID da amostra</x:v>
      </x:c>
      <x:c r="B1" s="38" t="str">
        <x:v>Fornecedor</x:v>
      </x:c>
      <x:c r="C1" s="38" t="str">
        <x:v>Produto / amostra alvo</x:v>
      </x:c>
      <x:c r="D1" s="38" t="str">
        <x:v>Família estrutural alvo</x:v>
      </x:c>
      <x:c r="E1" s="38" t="str">
        <x:v>Construção / diversidade alvo</x:v>
      </x:c>
      <x:c r="F1" s="38" t="str">
        <x:v>Disponibilidade documental</x:v>
      </x:c>
      <x:c r="G1" s="38" t="str">
        <x:v>Fonte oficial</x:v>
      </x:c>
      <x:c r="H1" s="38" t="str">
        <x:v>Prioridade</x:v>
      </x:c>
      <x:c r="I1" s="38" t="str">
        <x:v>Geografia</x:v>
      </x:c>
      <x:c r="J1" s="38" t="str">
        <x:v>Canal de aquisição</x:v>
      </x:c>
      <x:c r="K1" s="38" t="str">
        <x:v>Status físico</x:v>
      </x:c>
      <x:c r="L1" s="38" t="str">
        <x:v>Status documento</x:v>
      </x:c>
      <x:c r="M1" s="38" t="str">
        <x:v>Status intake</x:v>
      </x:c>
      <x:c r="N1" s="38" t="str">
        <x:v>Responsável</x:v>
      </x:c>
      <x:c r="O1" s="38" t="str">
        <x:v>Qtd. planejada</x:v>
      </x:c>
      <x:c r="P1" s="38" t="str">
        <x:v>Data recebimento</x:v>
      </x:c>
      <x:c r="Q1" s="38" t="str">
        <x:v>Arquivo documental</x:v>
      </x:c>
      <x:c r="R1" s="38" t="str">
        <x:v>Hash da evidência</x:v>
      </x:c>
      <x:c r="S1" s="38" t="str">
        <x:v>Status revisão</x:v>
      </x:c>
      <x:c r="T1" s="38" t="str">
        <x:v>Observações</x:v>
      </x:c>
      <x:c r="U1" s="38" t="str">
        <x:v>Dimension Revision ID</x:v>
      </x:c>
      <x:c r="V1" s="38" t="str">
        <x:v>Family Concept Revision ID</x:v>
      </x:c>
      <x:c r="W1" s="38" t="str">
        <x:v>Construction Concept Revision IDs</x:v>
      </x:c>
      <x:c r="X1" s="38" t="str">
        <x:v>Mapping Status</x:v>
      </x:c>
      <x:c r="Y1" s="38" t="str">
        <x:v>TextileSample Node ID</x:v>
      </x:c>
      <x:c r="Z1" s="38" t="str">
        <x:v>Evidence IDs</x:v>
      </x:c>
      <x:c r="AA1" s="38" t="str">
        <x:v>Assertion IDs</x:v>
      </x:c>
      <x:c r="AB1" s="38" t="str">
        <x:v>Review IDs</x:v>
      </x:c>
      <x:c r="AC1" s="38" t="str">
        <x:v>PublicationDecision IDs</x:v>
      </x:c>
      <x:c r="AD1" s="38" t="str">
        <x:v>Onda de solicitação</x:v>
      </x:c>
    </x:row>
    <x:row r="2">
      <x:c r="A2" s="48" t="str">
        <x:v>OPS-TX-001</x:v>
      </x:c>
      <x:c r="B2" s="48" t="str">
        <x:v>Polartec</x:v>
      </x:c>
      <x:c r="C2" s="48" t="str">
        <x:v>Delta</x:v>
      </x:c>
      <x:c r="D2" s="48" t="str">
        <x:v>malha_trama</x:v>
      </x:c>
      <x:c r="E2" s="48" t="str">
        <x:v>malha técnica bi-componente</x:v>
      </x:c>
      <x:c r="F2" s="48" t="str">
        <x:v>Página técnica oficial; alguns produtos citam método/resultado de ensaio</x:v>
      </x:c>
      <x:c r="G2" s="48" t="str">
        <x:v>https://www.polartec.com/fabrics</x:v>
      </x:c>
      <x:c r="H2" s="48" t="str">
        <x:v>Alta</x:v>
      </x:c>
      <x:c r="I2" s="48" t="str">
        <x:v>Internacional</x:v>
      </x:c>
      <x:c r="J2" s="48" t="str">
        <x:v>Solicitar amostra ao fabricante/distribuidor</x:v>
      </x:c>
      <x:c r="K2" s="48" t="str">
        <x:v>A solicitar</x:v>
      </x:c>
      <x:c r="L2" s="48" t="str">
        <x:v>Referência localizada</x:v>
      </x:c>
      <x:c r="M2" s="48" t="str">
        <x:v>Candidata</x:v>
      </x:c>
      <x:c r="N2" s="48" t="str">
        <x:v>Operations</x:v>
      </x:c>
      <x:c r="O2" s="48" t="n">
        <x:v>1</x:v>
      </x:c>
      <x:c r="P2" s="48"/>
      <x:c r="Q2" s="48" t="str"/>
      <x:c r="R2" s="48" t="str"/>
      <x:c r="S2" s="48" t="str">
        <x:v>Não revisada</x:v>
      </x:c>
      <x:c r="T2" s="48" t="str">
        <x:v>Confirmar ficha técnica/ensaio e código exato antes da aceitação.</x:v>
      </x:c>
      <x:c r="U2" s="48" t="str">
        <x:v>dimension-revision:structure.family:v0.3</x:v>
      </x:c>
      <x:c r="V2" s="48" t="str">
        <x:v>concept-revision:structure.family.weft_knit:v0.3</x:v>
      </x:c>
      <x:c r="W2" s="48" t="str"/>
      <x:c r="X2" s="48" t="str">
        <x:v>lead_only_not_asserted</x:v>
      </x:c>
      <x:c r="Y2" s="48" t="str">
        <x:v>textile-sample:ops-tx-001</x:v>
      </x:c>
      <x:c r="Z2" s="48" t="str"/>
      <x:c r="AA2" s="48" t="str"/>
      <x:c r="AB2" s="48" t="str"/>
      <x:c r="AC2" s="48" t="str"/>
      <x:c r="AD2" s="48" t="str">
        <x:v>wave-1-polartec-cordura</x:v>
      </x:c>
    </x:row>
    <x:row r="3">
      <x:c r="A3" s="48" t="str">
        <x:v>OPS-TX-002</x:v>
      </x:c>
      <x:c r="B3" s="48" t="str">
        <x:v>Polartec</x:v>
      </x:c>
      <x:c r="C3" s="48" t="str">
        <x:v>Power Dry</x:v>
      </x:c>
      <x:c r="D3" s="48" t="str">
        <x:v>malha_trama</x:v>
      </x:c>
      <x:c r="E3" s="48" t="str">
        <x:v>malha técnica bi-componente</x:v>
      </x:c>
      <x:c r="F3" s="48" t="str">
        <x:v>Página técnica oficial; alguns produtos citam método/resultado de ensaio</x:v>
      </x:c>
      <x:c r="G3" s="48" t="str">
        <x:v>https://www.polartec.com/fabrics</x:v>
      </x:c>
      <x:c r="H3" s="48" t="str">
        <x:v>Alta</x:v>
      </x:c>
      <x:c r="I3" s="48" t="str">
        <x:v>Internacional</x:v>
      </x:c>
      <x:c r="J3" s="48" t="str">
        <x:v>Solicitar amostra ao fabricante/distribuidor</x:v>
      </x:c>
      <x:c r="K3" s="48" t="str">
        <x:v>A solicitar</x:v>
      </x:c>
      <x:c r="L3" s="48" t="str">
        <x:v>Referência localizada</x:v>
      </x:c>
      <x:c r="M3" s="48" t="str">
        <x:v>Candidata</x:v>
      </x:c>
      <x:c r="N3" s="48" t="str">
        <x:v>Operations</x:v>
      </x:c>
      <x:c r="O3" s="48" t="n">
        <x:v>1</x:v>
      </x:c>
      <x:c r="P3" s="48"/>
      <x:c r="Q3" s="48" t="str"/>
      <x:c r="R3" s="48" t="str"/>
      <x:c r="S3" s="48" t="str">
        <x:v>Não revisada</x:v>
      </x:c>
      <x:c r="T3" s="48" t="str">
        <x:v>Confirmar ficha técnica/ensaio e código exato antes da aceitação.</x:v>
      </x:c>
      <x:c r="U3" s="48" t="str">
        <x:v>dimension-revision:structure.family:v0.3</x:v>
      </x:c>
      <x:c r="V3" s="48" t="str">
        <x:v>concept-revision:structure.family.weft_knit:v0.3</x:v>
      </x:c>
      <x:c r="W3" s="48" t="str"/>
      <x:c r="X3" s="48" t="str">
        <x:v>lead_only_not_asserted</x:v>
      </x:c>
      <x:c r="Y3" s="48" t="str">
        <x:v>textile-sample:ops-tx-002</x:v>
      </x:c>
      <x:c r="Z3" s="48" t="str"/>
      <x:c r="AA3" s="48" t="str"/>
      <x:c r="AB3" s="48" t="str"/>
      <x:c r="AC3" s="48" t="str"/>
      <x:c r="AD3" s="48" t="str">
        <x:v>wave-1-polartec-cordura</x:v>
      </x:c>
    </x:row>
    <x:row r="4">
      <x:c r="A4" s="48" t="str">
        <x:v>OPS-TX-003</x:v>
      </x:c>
      <x:c r="B4" s="48" t="str">
        <x:v>Polartec</x:v>
      </x:c>
      <x:c r="C4" s="48" t="str">
        <x:v>Power Grid</x:v>
      </x:c>
      <x:c r="D4" s="48" t="str">
        <x:v>malha_trama</x:v>
      </x:c>
      <x:c r="E4" s="48" t="str">
        <x:v>malha grid/fleece</x:v>
      </x:c>
      <x:c r="F4" s="48" t="str">
        <x:v>Página técnica oficial; alguns produtos citam método/resultado de ensaio</x:v>
      </x:c>
      <x:c r="G4" s="48" t="str">
        <x:v>https://www.polartec.com/fabrics</x:v>
      </x:c>
      <x:c r="H4" s="48" t="str">
        <x:v>Alta</x:v>
      </x:c>
      <x:c r="I4" s="48" t="str">
        <x:v>Internacional</x:v>
      </x:c>
      <x:c r="J4" s="48" t="str">
        <x:v>Solicitar amostra ao fabricante/distribuidor</x:v>
      </x:c>
      <x:c r="K4" s="48" t="str">
        <x:v>A solicitar</x:v>
      </x:c>
      <x:c r="L4" s="48" t="str">
        <x:v>Referência localizada</x:v>
      </x:c>
      <x:c r="M4" s="48" t="str">
        <x:v>Candidata</x:v>
      </x:c>
      <x:c r="N4" s="48" t="str">
        <x:v>Operations</x:v>
      </x:c>
      <x:c r="O4" s="48" t="n">
        <x:v>1</x:v>
      </x:c>
      <x:c r="P4" s="48"/>
      <x:c r="Q4" s="48" t="str"/>
      <x:c r="R4" s="48" t="str"/>
      <x:c r="S4" s="48" t="str">
        <x:v>Não revisada</x:v>
      </x:c>
      <x:c r="T4" s="48" t="str">
        <x:v>Confirmar ficha técnica/ensaio e código exato antes da aceitação.</x:v>
      </x:c>
      <x:c r="U4" s="48" t="str">
        <x:v>dimension-revision:structure.family:v0.3</x:v>
      </x:c>
      <x:c r="V4" s="48" t="str">
        <x:v>concept-revision:structure.family.weft_knit:v0.3</x:v>
      </x:c>
      <x:c r="W4" s="48" t="str">
        <x:v>concept-revision:patterning.surface_multilayer.fleece:v0.3</x:v>
      </x:c>
      <x:c r="X4" s="48" t="str">
        <x:v>lead_only_not_asserted</x:v>
      </x:c>
      <x:c r="Y4" s="48" t="str">
        <x:v>textile-sample:ops-tx-003</x:v>
      </x:c>
      <x:c r="Z4" s="48" t="str"/>
      <x:c r="AA4" s="48" t="str"/>
      <x:c r="AB4" s="48" t="str"/>
      <x:c r="AC4" s="48" t="str"/>
      <x:c r="AD4" s="48" t="str">
        <x:v>wave-1-polartec-cordura</x:v>
      </x:c>
    </x:row>
    <x:row r="5">
      <x:c r="A5" s="48" t="str">
        <x:v>OPS-TX-004</x:v>
      </x:c>
      <x:c r="B5" s="48" t="str">
        <x:v>Polartec</x:v>
      </x:c>
      <x:c r="C5" s="48" t="str">
        <x:v>Power Stretch</x:v>
      </x:c>
      <x:c r="D5" s="48" t="str">
        <x:v>malha_trama</x:v>
      </x:c>
      <x:c r="E5" s="48" t="str">
        <x:v>malha elástica dupla superfície</x:v>
      </x:c>
      <x:c r="F5" s="48" t="str">
        <x:v>Página técnica oficial; alguns produtos citam método/resultado de ensaio</x:v>
      </x:c>
      <x:c r="G5" s="48" t="str">
        <x:v>https://www.polartec.com/fabrics</x:v>
      </x:c>
      <x:c r="H5" s="48" t="str">
        <x:v>Alta</x:v>
      </x:c>
      <x:c r="I5" s="48" t="str">
        <x:v>Internacional</x:v>
      </x:c>
      <x:c r="J5" s="48" t="str">
        <x:v>Solicitar amostra ao fabricante/distribuidor</x:v>
      </x:c>
      <x:c r="K5" s="48" t="str">
        <x:v>A solicitar</x:v>
      </x:c>
      <x:c r="L5" s="48" t="str">
        <x:v>Referência localizada</x:v>
      </x:c>
      <x:c r="M5" s="48" t="str">
        <x:v>Candidata</x:v>
      </x:c>
      <x:c r="N5" s="48" t="str">
        <x:v>Operations</x:v>
      </x:c>
      <x:c r="O5" s="48" t="n">
        <x:v>1</x:v>
      </x:c>
      <x:c r="P5" s="48"/>
      <x:c r="Q5" s="48" t="str"/>
      <x:c r="R5" s="48" t="str"/>
      <x:c r="S5" s="48" t="str">
        <x:v>Não revisada</x:v>
      </x:c>
      <x:c r="T5" s="48" t="str">
        <x:v>Confirmar ficha técnica/ensaio e código exato antes da aceitação.</x:v>
      </x:c>
      <x:c r="U5" s="48" t="str">
        <x:v>dimension-revision:structure.family:v0.3</x:v>
      </x:c>
      <x:c r="V5" s="48" t="str">
        <x:v>concept-revision:structure.family.weft_knit:v0.3</x:v>
      </x:c>
      <x:c r="W5" s="48" t="str">
        <x:v>concept-revision:patterning.surface_multilayer.double_face:v0.3</x:v>
      </x:c>
      <x:c r="X5" s="48" t="str">
        <x:v>lead_only_not_asserted</x:v>
      </x:c>
      <x:c r="Y5" s="48" t="str">
        <x:v>textile-sample:ops-tx-004</x:v>
      </x:c>
      <x:c r="Z5" s="48" t="str"/>
      <x:c r="AA5" s="48" t="str"/>
      <x:c r="AB5" s="48" t="str"/>
      <x:c r="AC5" s="48" t="str"/>
      <x:c r="AD5" s="48" t="str">
        <x:v>wave-1-polartec-cordura</x:v>
      </x:c>
    </x:row>
    <x:row r="6">
      <x:c r="A6" s="48" t="str">
        <x:v>OPS-TX-005</x:v>
      </x:c>
      <x:c r="B6" s="48" t="str">
        <x:v>Polartec</x:v>
      </x:c>
      <x:c r="C6" s="48" t="str">
        <x:v>Power Stretch Pro</x:v>
      </x:c>
      <x:c r="D6" s="48" t="str">
        <x:v>malha_trama</x:v>
      </x:c>
      <x:c r="E6" s="48" t="str">
        <x:v>malha elástica dupla superfície</x:v>
      </x:c>
      <x:c r="F6" s="48" t="str">
        <x:v>Página técnica oficial; alguns produtos citam método/resultado de ensaio</x:v>
      </x:c>
      <x:c r="G6" s="48" t="str">
        <x:v>https://www.polartec.com/fabrics</x:v>
      </x:c>
      <x:c r="H6" s="48" t="str">
        <x:v>Alta</x:v>
      </x:c>
      <x:c r="I6" s="48" t="str">
        <x:v>Internacional</x:v>
      </x:c>
      <x:c r="J6" s="48" t="str">
        <x:v>Solicitar amostra ao fabricante/distribuidor</x:v>
      </x:c>
      <x:c r="K6" s="48" t="str">
        <x:v>A solicitar</x:v>
      </x:c>
      <x:c r="L6" s="48" t="str">
        <x:v>Referência localizada</x:v>
      </x:c>
      <x:c r="M6" s="48" t="str">
        <x:v>Candidata</x:v>
      </x:c>
      <x:c r="N6" s="48" t="str">
        <x:v>Operations</x:v>
      </x:c>
      <x:c r="O6" s="48" t="n">
        <x:v>1</x:v>
      </x:c>
      <x:c r="P6" s="48"/>
      <x:c r="Q6" s="48" t="str"/>
      <x:c r="R6" s="48" t="str"/>
      <x:c r="S6" s="48" t="str">
        <x:v>Não revisada</x:v>
      </x:c>
      <x:c r="T6" s="48" t="str">
        <x:v>Confirmar ficha técnica/ensaio e código exato antes da aceitação.</x:v>
      </x:c>
      <x:c r="U6" s="48" t="str">
        <x:v>dimension-revision:structure.family:v0.3</x:v>
      </x:c>
      <x:c r="V6" s="48" t="str">
        <x:v>concept-revision:structure.family.weft_knit:v0.3</x:v>
      </x:c>
      <x:c r="W6" s="48" t="str">
        <x:v>concept-revision:patterning.surface_multilayer.double_face:v0.3</x:v>
      </x:c>
      <x:c r="X6" s="48" t="str">
        <x:v>lead_only_not_asserted</x:v>
      </x:c>
      <x:c r="Y6" s="48" t="str">
        <x:v>textile-sample:ops-tx-005</x:v>
      </x:c>
      <x:c r="Z6" s="48" t="str"/>
      <x:c r="AA6" s="48" t="str"/>
      <x:c r="AB6" s="48" t="str"/>
      <x:c r="AC6" s="48" t="str"/>
      <x:c r="AD6" s="48" t="str">
        <x:v>wave-1-polartec-cordura</x:v>
      </x:c>
    </x:row>
    <x:row r="7">
      <x:c r="A7" s="48" t="str">
        <x:v>OPS-TX-006</x:v>
      </x:c>
      <x:c r="B7" s="48" t="str">
        <x:v>Polartec</x:v>
      </x:c>
      <x:c r="C7" s="48" t="str">
        <x:v>Power Wool</x:v>
      </x:c>
      <x:c r="D7" s="48" t="str">
        <x:v>malha_trama</x:v>
      </x:c>
      <x:c r="E7" s="48" t="str">
        <x:v>malha bi-componente lã/sintético</x:v>
      </x:c>
      <x:c r="F7" s="48" t="str">
        <x:v>Página técnica oficial; alguns produtos citam método/resultado de ensaio</x:v>
      </x:c>
      <x:c r="G7" s="48" t="str">
        <x:v>https://www.polartec.com/fabrics</x:v>
      </x:c>
      <x:c r="H7" s="48" t="str">
        <x:v>Alta</x:v>
      </x:c>
      <x:c r="I7" s="48" t="str">
        <x:v>Internacional</x:v>
      </x:c>
      <x:c r="J7" s="48" t="str">
        <x:v>Solicitar amostra ao fabricante/distribuidor</x:v>
      </x:c>
      <x:c r="K7" s="48" t="str">
        <x:v>A solicitar</x:v>
      </x:c>
      <x:c r="L7" s="48" t="str">
        <x:v>Referência localizada</x:v>
      </x:c>
      <x:c r="M7" s="48" t="str">
        <x:v>Candidata</x:v>
      </x:c>
      <x:c r="N7" s="48" t="str">
        <x:v>Operations</x:v>
      </x:c>
      <x:c r="O7" s="48" t="n">
        <x:v>1</x:v>
      </x:c>
      <x:c r="P7" s="48"/>
      <x:c r="Q7" s="48" t="str"/>
      <x:c r="R7" s="48" t="str"/>
      <x:c r="S7" s="48" t="str">
        <x:v>Não revisada</x:v>
      </x:c>
      <x:c r="T7" s="48" t="str">
        <x:v>Confirmar ficha técnica/ensaio e código exato antes da aceitação.</x:v>
      </x:c>
      <x:c r="U7" s="48" t="str">
        <x:v>dimension-revision:structure.family:v0.3</x:v>
      </x:c>
      <x:c r="V7" s="48" t="str">
        <x:v>concept-revision:structure.family.weft_knit:v0.3</x:v>
      </x:c>
      <x:c r="W7" s="48" t="str"/>
      <x:c r="X7" s="48" t="str">
        <x:v>lead_only_not_asserted</x:v>
      </x:c>
      <x:c r="Y7" s="48" t="str">
        <x:v>textile-sample:ops-tx-006</x:v>
      </x:c>
      <x:c r="Z7" s="48" t="str"/>
      <x:c r="AA7" s="48" t="str"/>
      <x:c r="AB7" s="48" t="str"/>
      <x:c r="AC7" s="48" t="str"/>
      <x:c r="AD7" s="48" t="str">
        <x:v>wave-1-polartec-cordura</x:v>
      </x:c>
    </x:row>
    <x:row r="8">
      <x:c r="A8" s="48" t="str">
        <x:v>OPS-TX-007</x:v>
      </x:c>
      <x:c r="B8" s="48" t="str">
        <x:v>Polartec</x:v>
      </x:c>
      <x:c r="C8" s="48" t="str">
        <x:v>Alpha</x:v>
      </x:c>
      <x:c r="D8" s="48" t="str">
        <x:v>malha_trama</x:v>
      </x:c>
      <x:c r="E8" s="48" t="str">
        <x:v>malha de isolamento com loft</x:v>
      </x:c>
      <x:c r="F8" s="48" t="str">
        <x:v>Página técnica oficial; alguns produtos citam método/resultado de ensaio</x:v>
      </x:c>
      <x:c r="G8" s="48" t="str">
        <x:v>https://www.polartec.com/fabrics</x:v>
      </x:c>
      <x:c r="H8" s="48" t="str">
        <x:v>Alta</x:v>
      </x:c>
      <x:c r="I8" s="48" t="str">
        <x:v>Internacional</x:v>
      </x:c>
      <x:c r="J8" s="48" t="str">
        <x:v>Solicitar amostra ao fabricante/distribuidor</x:v>
      </x:c>
      <x:c r="K8" s="48" t="str">
        <x:v>A solicitar</x:v>
      </x:c>
      <x:c r="L8" s="48" t="str">
        <x:v>Referência localizada</x:v>
      </x:c>
      <x:c r="M8" s="48" t="str">
        <x:v>Candidata</x:v>
      </x:c>
      <x:c r="N8" s="48" t="str">
        <x:v>Operations</x:v>
      </x:c>
      <x:c r="O8" s="48" t="n">
        <x:v>1</x:v>
      </x:c>
      <x:c r="P8" s="48"/>
      <x:c r="Q8" s="48" t="str"/>
      <x:c r="R8" s="48" t="str"/>
      <x:c r="S8" s="48" t="str">
        <x:v>Não revisada</x:v>
      </x:c>
      <x:c r="T8" s="48" t="str">
        <x:v>Confirmar ficha técnica/ensaio e código exato antes da aceitação.</x:v>
      </x:c>
      <x:c r="U8" s="48" t="str">
        <x:v>dimension-revision:structure.family:v0.3</x:v>
      </x:c>
      <x:c r="V8" s="48" t="str">
        <x:v>concept-revision:structure.family.weft_knit:v0.3</x:v>
      </x:c>
      <x:c r="W8" s="48" t="str"/>
      <x:c r="X8" s="48" t="str">
        <x:v>lead_only_not_asserted</x:v>
      </x:c>
      <x:c r="Y8" s="48" t="str">
        <x:v>textile-sample:ops-tx-007</x:v>
      </x:c>
      <x:c r="Z8" s="48" t="str"/>
      <x:c r="AA8" s="48" t="str"/>
      <x:c r="AB8" s="48" t="str"/>
      <x:c r="AC8" s="48" t="str"/>
      <x:c r="AD8" s="48" t="str">
        <x:v>wave-1-polartec-cordura</x:v>
      </x:c>
    </x:row>
    <x:row r="9">
      <x:c r="A9" s="48" t="str">
        <x:v>OPS-TX-008</x:v>
      </x:c>
      <x:c r="B9" s="48" t="str">
        <x:v>Polartec</x:v>
      </x:c>
      <x:c r="C9" s="48" t="str">
        <x:v>Fleece Micro Series</x:v>
      </x:c>
      <x:c r="D9" s="48" t="str">
        <x:v>malha_trama</x:v>
      </x:c>
      <x:c r="E9" s="48" t="str">
        <x:v>fleece leve</x:v>
      </x:c>
      <x:c r="F9" s="48" t="str">
        <x:v>Página técnica oficial; alguns produtos citam método/resultado de ensaio</x:v>
      </x:c>
      <x:c r="G9" s="48" t="str">
        <x:v>https://www.polartec.com/fabrics</x:v>
      </x:c>
      <x:c r="H9" s="48" t="str">
        <x:v>Alta</x:v>
      </x:c>
      <x:c r="I9" s="48" t="str">
        <x:v>Internacional</x:v>
      </x:c>
      <x:c r="J9" s="48" t="str">
        <x:v>Solicitar amostra ao fabricante/distribuidor</x:v>
      </x:c>
      <x:c r="K9" s="48" t="str">
        <x:v>A solicitar</x:v>
      </x:c>
      <x:c r="L9" s="48" t="str">
        <x:v>Referência localizada</x:v>
      </x:c>
      <x:c r="M9" s="48" t="str">
        <x:v>Candidata</x:v>
      </x:c>
      <x:c r="N9" s="48" t="str">
        <x:v>Operations</x:v>
      </x:c>
      <x:c r="O9" s="48" t="n">
        <x:v>1</x:v>
      </x:c>
      <x:c r="P9" s="48"/>
      <x:c r="Q9" s="48" t="str"/>
      <x:c r="R9" s="48" t="str"/>
      <x:c r="S9" s="48" t="str">
        <x:v>Não revisada</x:v>
      </x:c>
      <x:c r="T9" s="48" t="str">
        <x:v>Confirmar ficha técnica/ensaio e código exato antes da aceitação.</x:v>
      </x:c>
      <x:c r="U9" s="48" t="str">
        <x:v>dimension-revision:structure.family:v0.3</x:v>
      </x:c>
      <x:c r="V9" s="48" t="str">
        <x:v>concept-revision:structure.family.weft_knit:v0.3</x:v>
      </x:c>
      <x:c r="W9" s="48" t="str">
        <x:v>concept-revision:patterning.surface_multilayer.fleece:v0.3</x:v>
      </x:c>
      <x:c r="X9" s="48" t="str">
        <x:v>lead_only_not_asserted</x:v>
      </x:c>
      <x:c r="Y9" s="48" t="str">
        <x:v>textile-sample:ops-tx-008</x:v>
      </x:c>
      <x:c r="Z9" s="48" t="str"/>
      <x:c r="AA9" s="48" t="str"/>
      <x:c r="AB9" s="48" t="str"/>
      <x:c r="AC9" s="48" t="str"/>
      <x:c r="AD9" s="48" t="str">
        <x:v>wave-1-polartec-cordura</x:v>
      </x:c>
    </x:row>
    <x:row r="10">
      <x:c r="A10" s="48" t="str">
        <x:v>OPS-TX-009</x:v>
      </x:c>
      <x:c r="B10" s="48" t="str">
        <x:v>Polartec</x:v>
      </x:c>
      <x:c r="C10" s="48" t="str">
        <x:v>Fleece 100 Series</x:v>
      </x:c>
      <x:c r="D10" s="48" t="str">
        <x:v>malha_trama</x:v>
      </x:c>
      <x:c r="E10" s="48" t="str">
        <x:v>fleece leve</x:v>
      </x:c>
      <x:c r="F10" s="48" t="str">
        <x:v>Página técnica oficial; alguns produtos citam método/resultado de ensaio</x:v>
      </x:c>
      <x:c r="G10" s="48" t="str">
        <x:v>https://www.polartec.com/fabrics</x:v>
      </x:c>
      <x:c r="H10" s="48" t="str">
        <x:v>Alta</x:v>
      </x:c>
      <x:c r="I10" s="48" t="str">
        <x:v>Internacional</x:v>
      </x:c>
      <x:c r="J10" s="48" t="str">
        <x:v>Solicitar amostra ao fabricante/distribuidor</x:v>
      </x:c>
      <x:c r="K10" s="48" t="str">
        <x:v>A solicitar</x:v>
      </x:c>
      <x:c r="L10" s="48" t="str">
        <x:v>Referência localizada</x:v>
      </x:c>
      <x:c r="M10" s="48" t="str">
        <x:v>Candidata</x:v>
      </x:c>
      <x:c r="N10" s="48" t="str">
        <x:v>Operations</x:v>
      </x:c>
      <x:c r="O10" s="48" t="n">
        <x:v>1</x:v>
      </x:c>
      <x:c r="P10" s="48"/>
      <x:c r="Q10" s="48" t="str"/>
      <x:c r="R10" s="48" t="str"/>
      <x:c r="S10" s="48" t="str">
        <x:v>Não revisada</x:v>
      </x:c>
      <x:c r="T10" s="48" t="str">
        <x:v>Confirmar ficha técnica/ensaio e código exato antes da aceitação.</x:v>
      </x:c>
      <x:c r="U10" s="48" t="str">
        <x:v>dimension-revision:structure.family:v0.3</x:v>
      </x:c>
      <x:c r="V10" s="48" t="str">
        <x:v>concept-revision:structure.family.weft_knit:v0.3</x:v>
      </x:c>
      <x:c r="W10" s="48" t="str">
        <x:v>concept-revision:patterning.surface_multilayer.fleece:v0.3</x:v>
      </x:c>
      <x:c r="X10" s="48" t="str">
        <x:v>lead_only_not_asserted</x:v>
      </x:c>
      <x:c r="Y10" s="48" t="str">
        <x:v>textile-sample:ops-tx-009</x:v>
      </x:c>
      <x:c r="Z10" s="48" t="str"/>
      <x:c r="AA10" s="48" t="str"/>
      <x:c r="AB10" s="48" t="str"/>
      <x:c r="AC10" s="48" t="str"/>
      <x:c r="AD10" s="48" t="str">
        <x:v>wave-1-polartec-cordura</x:v>
      </x:c>
    </x:row>
    <x:row r="11">
      <x:c r="A11" s="48" t="str">
        <x:v>OPS-TX-010</x:v>
      </x:c>
      <x:c r="B11" s="48" t="str">
        <x:v>Polartec</x:v>
      </x:c>
      <x:c r="C11" s="48" t="str">
        <x:v>Fleece 200 Series</x:v>
      </x:c>
      <x:c r="D11" s="48" t="str">
        <x:v>malha_trama</x:v>
      </x:c>
      <x:c r="E11" s="48" t="str">
        <x:v>fleece médio</x:v>
      </x:c>
      <x:c r="F11" s="48" t="str">
        <x:v>Página técnica oficial; alguns produtos citam método/resultado de ensaio</x:v>
      </x:c>
      <x:c r="G11" s="48" t="str">
        <x:v>https://www.polartec.com/fabrics</x:v>
      </x:c>
      <x:c r="H11" s="48" t="str">
        <x:v>Alta</x:v>
      </x:c>
      <x:c r="I11" s="48" t="str">
        <x:v>Internacional</x:v>
      </x:c>
      <x:c r="J11" s="48" t="str">
        <x:v>Solicitar amostra ao fabricante/distribuidor</x:v>
      </x:c>
      <x:c r="K11" s="48" t="str">
        <x:v>A solicitar</x:v>
      </x:c>
      <x:c r="L11" s="48" t="str">
        <x:v>Referência localizada</x:v>
      </x:c>
      <x:c r="M11" s="48" t="str">
        <x:v>Candidata</x:v>
      </x:c>
      <x:c r="N11" s="48" t="str">
        <x:v>Operations</x:v>
      </x:c>
      <x:c r="O11" s="48" t="n">
        <x:v>1</x:v>
      </x:c>
      <x:c r="P11" s="48"/>
      <x:c r="Q11" s="48" t="str"/>
      <x:c r="R11" s="48" t="str"/>
      <x:c r="S11" s="48" t="str">
        <x:v>Não revisada</x:v>
      </x:c>
      <x:c r="T11" s="48" t="str">
        <x:v>Confirmar ficha técnica/ensaio e código exato antes da aceitação.</x:v>
      </x:c>
      <x:c r="U11" s="48" t="str">
        <x:v>dimension-revision:structure.family:v0.3</x:v>
      </x:c>
      <x:c r="V11" s="48" t="str">
        <x:v>concept-revision:structure.family.weft_knit:v0.3</x:v>
      </x:c>
      <x:c r="W11" s="48" t="str">
        <x:v>concept-revision:patterning.surface_multilayer.fleece:v0.3</x:v>
      </x:c>
      <x:c r="X11" s="48" t="str">
        <x:v>lead_only_not_asserted</x:v>
      </x:c>
      <x:c r="Y11" s="48" t="str">
        <x:v>textile-sample:ops-tx-010</x:v>
      </x:c>
      <x:c r="Z11" s="48" t="str"/>
      <x:c r="AA11" s="48" t="str"/>
      <x:c r="AB11" s="48" t="str"/>
      <x:c r="AC11" s="48" t="str"/>
      <x:c r="AD11" s="48" t="str">
        <x:v>wave-1-polartec-cordura</x:v>
      </x:c>
    </x:row>
    <x:row r="12">
      <x:c r="A12" s="48" t="str">
        <x:v>OPS-TX-011</x:v>
      </x:c>
      <x:c r="B12" s="48" t="str">
        <x:v>Polartec</x:v>
      </x:c>
      <x:c r="C12" s="48" t="str">
        <x:v>Fleece 300 Series</x:v>
      </x:c>
      <x:c r="D12" s="48" t="str">
        <x:v>malha_trama</x:v>
      </x:c>
      <x:c r="E12" s="48" t="str">
        <x:v>fleece pesado</x:v>
      </x:c>
      <x:c r="F12" s="48" t="str">
        <x:v>Página técnica oficial; alguns produtos citam método/resultado de ensaio</x:v>
      </x:c>
      <x:c r="G12" s="48" t="str">
        <x:v>https://www.polartec.com/fabrics</x:v>
      </x:c>
      <x:c r="H12" s="48" t="str">
        <x:v>Alta</x:v>
      </x:c>
      <x:c r="I12" s="48" t="str">
        <x:v>Internacional</x:v>
      </x:c>
      <x:c r="J12" s="48" t="str">
        <x:v>Solicitar amostra ao fabricante/distribuidor</x:v>
      </x:c>
      <x:c r="K12" s="48" t="str">
        <x:v>A solicitar</x:v>
      </x:c>
      <x:c r="L12" s="48" t="str">
        <x:v>Referência localizada</x:v>
      </x:c>
      <x:c r="M12" s="48" t="str">
        <x:v>Candidata</x:v>
      </x:c>
      <x:c r="N12" s="48" t="str">
        <x:v>Operations</x:v>
      </x:c>
      <x:c r="O12" s="48" t="n">
        <x:v>1</x:v>
      </x:c>
      <x:c r="P12" s="48"/>
      <x:c r="Q12" s="48" t="str"/>
      <x:c r="R12" s="48" t="str"/>
      <x:c r="S12" s="48" t="str">
        <x:v>Não revisada</x:v>
      </x:c>
      <x:c r="T12" s="48" t="str">
        <x:v>Confirmar ficha técnica/ensaio e código exato antes da aceitação.</x:v>
      </x:c>
      <x:c r="U12" s="48" t="str">
        <x:v>dimension-revision:structure.family:v0.3</x:v>
      </x:c>
      <x:c r="V12" s="48" t="str">
        <x:v>concept-revision:structure.family.weft_knit:v0.3</x:v>
      </x:c>
      <x:c r="W12" s="48" t="str">
        <x:v>concept-revision:patterning.surface_multilayer.fleece:v0.3</x:v>
      </x:c>
      <x:c r="X12" s="48" t="str">
        <x:v>lead_only_not_asserted</x:v>
      </x:c>
      <x:c r="Y12" s="48" t="str">
        <x:v>textile-sample:ops-tx-011</x:v>
      </x:c>
      <x:c r="Z12" s="48" t="str"/>
      <x:c r="AA12" s="48" t="str"/>
      <x:c r="AB12" s="48" t="str"/>
      <x:c r="AC12" s="48" t="str"/>
      <x:c r="AD12" s="48" t="str">
        <x:v>wave-1-polartec-cordura</x:v>
      </x:c>
    </x:row>
    <x:row r="13">
      <x:c r="A13" s="48" t="str">
        <x:v>OPS-TX-012</x:v>
      </x:c>
      <x:c r="B13" s="48" t="str">
        <x:v>Polartec</x:v>
      </x:c>
      <x:c r="C13" s="48" t="str">
        <x:v>High Loft</x:v>
      </x:c>
      <x:c r="D13" s="48" t="str">
        <x:v>malha_trama</x:v>
      </x:c>
      <x:c r="E13" s="48" t="str">
        <x:v>fleece de pelo alto</x:v>
      </x:c>
      <x:c r="F13" s="48" t="str">
        <x:v>Página técnica oficial; alguns produtos citam método/resultado de ensaio</x:v>
      </x:c>
      <x:c r="G13" s="48" t="str">
        <x:v>https://www.polartec.com/fabrics</x:v>
      </x:c>
      <x:c r="H13" s="48" t="str">
        <x:v>Alta</x:v>
      </x:c>
      <x:c r="I13" s="48" t="str">
        <x:v>Internacional</x:v>
      </x:c>
      <x:c r="J13" s="48" t="str">
        <x:v>Solicitar amostra ao fabricante/distribuidor</x:v>
      </x:c>
      <x:c r="K13" s="48" t="str">
        <x:v>A solicitar</x:v>
      </x:c>
      <x:c r="L13" s="48" t="str">
        <x:v>Referência localizada</x:v>
      </x:c>
      <x:c r="M13" s="48" t="str">
        <x:v>Candidata</x:v>
      </x:c>
      <x:c r="N13" s="48" t="str">
        <x:v>Operations</x:v>
      </x:c>
      <x:c r="O13" s="48" t="n">
        <x:v>1</x:v>
      </x:c>
      <x:c r="P13" s="48"/>
      <x:c r="Q13" s="48" t="str"/>
      <x:c r="R13" s="48" t="str"/>
      <x:c r="S13" s="48" t="str">
        <x:v>Não revisada</x:v>
      </x:c>
      <x:c r="T13" s="48" t="str">
        <x:v>Confirmar ficha técnica/ensaio e código exato antes da aceitação.</x:v>
      </x:c>
      <x:c r="U13" s="48" t="str">
        <x:v>dimension-revision:structure.family:v0.3</x:v>
      </x:c>
      <x:c r="V13" s="48" t="str">
        <x:v>concept-revision:structure.family.weft_knit:v0.3</x:v>
      </x:c>
      <x:c r="W13" s="48" t="str">
        <x:v>concept-revision:patterning.surface_multilayer.fleece:v0.3</x:v>
      </x:c>
      <x:c r="X13" s="48" t="str">
        <x:v>lead_only_not_asserted</x:v>
      </x:c>
      <x:c r="Y13" s="48" t="str">
        <x:v>textile-sample:ops-tx-012</x:v>
      </x:c>
      <x:c r="Z13" s="48" t="str"/>
      <x:c r="AA13" s="48" t="str"/>
      <x:c r="AB13" s="48" t="str"/>
      <x:c r="AC13" s="48" t="str"/>
      <x:c r="AD13" s="48" t="str">
        <x:v>wave-1-polartec-cordura</x:v>
      </x:c>
    </x:row>
    <x:row r="14">
      <x:c r="A14" s="48" t="str">
        <x:v>OPS-TX-013</x:v>
      </x:c>
      <x:c r="B14" s="48" t="str">
        <x:v>Polartec</x:v>
      </x:c>
      <x:c r="C14" s="48" t="str">
        <x:v>Power Air</x:v>
      </x:c>
      <x:c r="D14" s="48" t="str">
        <x:v>malha_trama</x:v>
      </x:c>
      <x:c r="E14" s="48" t="str">
        <x:v>malha de isolamento encapsulado</x:v>
      </x:c>
      <x:c r="F14" s="48" t="str">
        <x:v>Página técnica oficial; alguns produtos citam método/resultado de ensaio</x:v>
      </x:c>
      <x:c r="G14" s="48" t="str">
        <x:v>https://www.polartec.com/fabrics</x:v>
      </x:c>
      <x:c r="H14" s="48" t="str">
        <x:v>Alta</x:v>
      </x:c>
      <x:c r="I14" s="48" t="str">
        <x:v>Internacional</x:v>
      </x:c>
      <x:c r="J14" s="48" t="str">
        <x:v>Solicitar amostra ao fabricante/distribuidor</x:v>
      </x:c>
      <x:c r="K14" s="48" t="str">
        <x:v>A solicitar</x:v>
      </x:c>
      <x:c r="L14" s="48" t="str">
        <x:v>Referência localizada</x:v>
      </x:c>
      <x:c r="M14" s="48" t="str">
        <x:v>Candidata</x:v>
      </x:c>
      <x:c r="N14" s="48" t="str">
        <x:v>Operations</x:v>
      </x:c>
      <x:c r="O14" s="48" t="n">
        <x:v>1</x:v>
      </x:c>
      <x:c r="P14" s="48"/>
      <x:c r="Q14" s="48" t="str"/>
      <x:c r="R14" s="48" t="str"/>
      <x:c r="S14" s="48" t="str">
        <x:v>Não revisada</x:v>
      </x:c>
      <x:c r="T14" s="48" t="str">
        <x:v>Confirmar ficha técnica/ensaio e código exato antes da aceitação.</x:v>
      </x:c>
      <x:c r="U14" s="48" t="str">
        <x:v>dimension-revision:structure.family:v0.3</x:v>
      </x:c>
      <x:c r="V14" s="48" t="str">
        <x:v>concept-revision:structure.family.weft_knit:v0.3</x:v>
      </x:c>
      <x:c r="W14" s="48" t="str"/>
      <x:c r="X14" s="48" t="str">
        <x:v>lead_only_not_asserted</x:v>
      </x:c>
      <x:c r="Y14" s="48" t="str">
        <x:v>textile-sample:ops-tx-013</x:v>
      </x:c>
      <x:c r="Z14" s="48" t="str"/>
      <x:c r="AA14" s="48" t="str"/>
      <x:c r="AB14" s="48" t="str"/>
      <x:c r="AC14" s="48" t="str"/>
      <x:c r="AD14" s="48" t="str">
        <x:v>wave-1-polartec-cordura</x:v>
      </x:c>
    </x:row>
    <x:row r="15">
      <x:c r="A15" s="48" t="str">
        <x:v>OPS-TX-014</x:v>
      </x:c>
      <x:c r="B15" s="48" t="str">
        <x:v>Polartec</x:v>
      </x:c>
      <x:c r="C15" s="48" t="str">
        <x:v>Thermal Pro</x:v>
      </x:c>
      <x:c r="D15" s="48" t="str">
        <x:v>malha_trama</x:v>
      </x:c>
      <x:c r="E15" s="48" t="str">
        <x:v>fleece térmico</x:v>
      </x:c>
      <x:c r="F15" s="48" t="str">
        <x:v>Página técnica oficial; alguns produtos citam método/resultado de ensaio</x:v>
      </x:c>
      <x:c r="G15" s="48" t="str">
        <x:v>https://www.polartec.com/fabrics</x:v>
      </x:c>
      <x:c r="H15" s="48" t="str">
        <x:v>Alta</x:v>
      </x:c>
      <x:c r="I15" s="48" t="str">
        <x:v>Internacional</x:v>
      </x:c>
      <x:c r="J15" s="48" t="str">
        <x:v>Solicitar amostra ao fabricante/distribuidor</x:v>
      </x:c>
      <x:c r="K15" s="48" t="str">
        <x:v>A solicitar</x:v>
      </x:c>
      <x:c r="L15" s="48" t="str">
        <x:v>Referência localizada</x:v>
      </x:c>
      <x:c r="M15" s="48" t="str">
        <x:v>Candidata</x:v>
      </x:c>
      <x:c r="N15" s="48" t="str">
        <x:v>Operations</x:v>
      </x:c>
      <x:c r="O15" s="48" t="n">
        <x:v>1</x:v>
      </x:c>
      <x:c r="P15" s="48"/>
      <x:c r="Q15" s="48" t="str"/>
      <x:c r="R15" s="48" t="str"/>
      <x:c r="S15" s="48" t="str">
        <x:v>Não revisada</x:v>
      </x:c>
      <x:c r="T15" s="48" t="str">
        <x:v>Confirmar ficha técnica/ensaio e código exato antes da aceitação.</x:v>
      </x:c>
      <x:c r="U15" s="48" t="str">
        <x:v>dimension-revision:structure.family:v0.3</x:v>
      </x:c>
      <x:c r="V15" s="48" t="str">
        <x:v>concept-revision:structure.family.weft_knit:v0.3</x:v>
      </x:c>
      <x:c r="W15" s="48" t="str">
        <x:v>concept-revision:patterning.surface_multilayer.fleece:v0.3</x:v>
      </x:c>
      <x:c r="X15" s="48" t="str">
        <x:v>lead_only_not_asserted</x:v>
      </x:c>
      <x:c r="Y15" s="48" t="str">
        <x:v>textile-sample:ops-tx-014</x:v>
      </x:c>
      <x:c r="Z15" s="48" t="str"/>
      <x:c r="AA15" s="48" t="str"/>
      <x:c r="AB15" s="48" t="str"/>
      <x:c r="AC15" s="48" t="str"/>
      <x:c r="AD15" s="48" t="str">
        <x:v>wave-1-polartec-cordura</x:v>
      </x:c>
    </x:row>
    <x:row r="16">
      <x:c r="A16" s="48" t="str">
        <x:v>OPS-TX-015</x:v>
      </x:c>
      <x:c r="B16" s="48" t="str">
        <x:v>Polartec</x:v>
      </x:c>
      <x:c r="C16" s="48" t="str">
        <x:v>Wind Pro</x:v>
      </x:c>
      <x:c r="D16" s="48" t="str">
        <x:v>malha_trama</x:v>
      </x:c>
      <x:c r="E16" s="48" t="str">
        <x:v>fleece de construção fechada</x:v>
      </x:c>
      <x:c r="F16" s="48" t="str">
        <x:v>Página técnica oficial; alguns produtos citam método/resultado de ensaio</x:v>
      </x:c>
      <x:c r="G16" s="48" t="str">
        <x:v>https://www.polartec.com/fabrics</x:v>
      </x:c>
      <x:c r="H16" s="48" t="str">
        <x:v>Alta</x:v>
      </x:c>
      <x:c r="I16" s="48" t="str">
        <x:v>Internacional</x:v>
      </x:c>
      <x:c r="J16" s="48" t="str">
        <x:v>Solicitar amostra ao fabricante/distribuidor</x:v>
      </x:c>
      <x:c r="K16" s="48" t="str">
        <x:v>A solicitar</x:v>
      </x:c>
      <x:c r="L16" s="48" t="str">
        <x:v>Referência localizada</x:v>
      </x:c>
      <x:c r="M16" s="48" t="str">
        <x:v>Candidata</x:v>
      </x:c>
      <x:c r="N16" s="48" t="str">
        <x:v>Operations</x:v>
      </x:c>
      <x:c r="O16" s="48" t="n">
        <x:v>1</x:v>
      </x:c>
      <x:c r="P16" s="48"/>
      <x:c r="Q16" s="48" t="str"/>
      <x:c r="R16" s="48" t="str"/>
      <x:c r="S16" s="48" t="str">
        <x:v>Não revisada</x:v>
      </x:c>
      <x:c r="T16" s="48" t="str">
        <x:v>Confirmar ficha técnica/ensaio e código exato antes da aceitação.</x:v>
      </x:c>
      <x:c r="U16" s="48" t="str">
        <x:v>dimension-revision:structure.family:v0.3</x:v>
      </x:c>
      <x:c r="V16" s="48" t="str">
        <x:v>concept-revision:structure.family.weft_knit:v0.3</x:v>
      </x:c>
      <x:c r="W16" s="48" t="str">
        <x:v>concept-revision:patterning.surface_multilayer.fleece:v0.3</x:v>
      </x:c>
      <x:c r="X16" s="48" t="str">
        <x:v>lead_only_not_asserted</x:v>
      </x:c>
      <x:c r="Y16" s="48" t="str">
        <x:v>textile-sample:ops-tx-015</x:v>
      </x:c>
      <x:c r="Z16" s="48" t="str"/>
      <x:c r="AA16" s="48" t="str"/>
      <x:c r="AB16" s="48" t="str"/>
      <x:c r="AC16" s="48" t="str"/>
      <x:c r="AD16" s="48" t="str">
        <x:v>wave-1-polartec-cordura</x:v>
      </x:c>
    </x:row>
    <x:row r="17">
      <x:c r="A17" s="48" t="str">
        <x:v>OPS-TX-016</x:v>
      </x:c>
      <x:c r="B17" s="48" t="str">
        <x:v>Polartec</x:v>
      </x:c>
      <x:c r="C17" s="48" t="str">
        <x:v>AirCore</x:v>
      </x:c>
      <x:c r="D17" s="48" t="str">
        <x:v>estrutura_composta</x:v>
      </x:c>
      <x:c r="E17" s="48" t="str">
        <x:v>têxtil com membrana nanofibrosa</x:v>
      </x:c>
      <x:c r="F17" s="48" t="str">
        <x:v>Página técnica oficial; alguns produtos citam método/resultado de ensaio</x:v>
      </x:c>
      <x:c r="G17" s="48" t="str">
        <x:v>https://www.polartec.com/fabrics</x:v>
      </x:c>
      <x:c r="H17" s="48" t="str">
        <x:v>Alta</x:v>
      </x:c>
      <x:c r="I17" s="48" t="str">
        <x:v>Internacional</x:v>
      </x:c>
      <x:c r="J17" s="48" t="str">
        <x:v>Solicitar amostra ao fabricante/distribuidor</x:v>
      </x:c>
      <x:c r="K17" s="48" t="str">
        <x:v>A solicitar</x:v>
      </x:c>
      <x:c r="L17" s="48" t="str">
        <x:v>Referência localizada</x:v>
      </x:c>
      <x:c r="M17" s="48" t="str">
        <x:v>Candidata</x:v>
      </x:c>
      <x:c r="N17" s="48" t="str">
        <x:v>Operations</x:v>
      </x:c>
      <x:c r="O17" s="48" t="n">
        <x:v>1</x:v>
      </x:c>
      <x:c r="P17" s="48"/>
      <x:c r="Q17" s="48" t="str"/>
      <x:c r="R17" s="48" t="str"/>
      <x:c r="S17" s="48" t="str">
        <x:v>Não revisada</x:v>
      </x:c>
      <x:c r="T17" s="48" t="str">
        <x:v>Confirmar ficha técnica/ensaio e código exato antes da aceitação.</x:v>
      </x:c>
      <x:c r="U17" s="48" t="str">
        <x:v>dimension-revision:structure.family:v0.3</x:v>
      </x:c>
      <x:c r="V17" s="48" t="str">
        <x:v>concept-revision:structure.family.composite_structure:v0.3</x:v>
      </x:c>
      <x:c r="W17" s="48" t="str">
        <x:v>concept-revision:composite.type.with_membrane:v0.3</x:v>
      </x:c>
      <x:c r="X17" s="48" t="str">
        <x:v>lead_only_not_asserted</x:v>
      </x:c>
      <x:c r="Y17" s="48" t="str">
        <x:v>textile-sample:ops-tx-016</x:v>
      </x:c>
      <x:c r="Z17" s="48" t="str"/>
      <x:c r="AA17" s="48" t="str"/>
      <x:c r="AB17" s="48" t="str"/>
      <x:c r="AC17" s="48" t="str"/>
      <x:c r="AD17" s="48" t="str">
        <x:v>wave-1-polartec-cordura</x:v>
      </x:c>
    </x:row>
    <x:row r="18">
      <x:c r="A18" s="48" t="str">
        <x:v>OPS-TX-017</x:v>
      </x:c>
      <x:c r="B18" s="48" t="str">
        <x:v>Polartec</x:v>
      </x:c>
      <x:c r="C18" s="48" t="str">
        <x:v>Windbloc</x:v>
      </x:c>
      <x:c r="D18" s="48" t="str">
        <x:v>estrutura_composta</x:v>
      </x:c>
      <x:c r="E18" s="48" t="str">
        <x:v>malha/tecido com membrana PU</x:v>
      </x:c>
      <x:c r="F18" s="48" t="str">
        <x:v>Página técnica oficial; alguns produtos citam método/resultado de ensaio</x:v>
      </x:c>
      <x:c r="G18" s="48" t="str">
        <x:v>https://www.polartec.com/fabrics</x:v>
      </x:c>
      <x:c r="H18" s="48" t="str">
        <x:v>Alta</x:v>
      </x:c>
      <x:c r="I18" s="48" t="str">
        <x:v>Internacional</x:v>
      </x:c>
      <x:c r="J18" s="48" t="str">
        <x:v>Solicitar amostra ao fabricante/distribuidor</x:v>
      </x:c>
      <x:c r="K18" s="48" t="str">
        <x:v>A solicitar</x:v>
      </x:c>
      <x:c r="L18" s="48" t="str">
        <x:v>Referência localizada</x:v>
      </x:c>
      <x:c r="M18" s="48" t="str">
        <x:v>Candidata</x:v>
      </x:c>
      <x:c r="N18" s="48" t="str">
        <x:v>Operations</x:v>
      </x:c>
      <x:c r="O18" s="48" t="n">
        <x:v>1</x:v>
      </x:c>
      <x:c r="P18" s="48"/>
      <x:c r="Q18" s="48" t="str"/>
      <x:c r="R18" s="48" t="str"/>
      <x:c r="S18" s="48" t="str">
        <x:v>Não revisada</x:v>
      </x:c>
      <x:c r="T18" s="48" t="str">
        <x:v>Confirmar ficha técnica/ensaio e código exato antes da aceitação.</x:v>
      </x:c>
      <x:c r="U18" s="48" t="str">
        <x:v>dimension-revision:structure.family:v0.3</x:v>
      </x:c>
      <x:c r="V18" s="48" t="str">
        <x:v>concept-revision:structure.family.composite_structure:v0.3</x:v>
      </x:c>
      <x:c r="W18" s="48" t="str">
        <x:v>concept-revision:composite.type.with_membrane:v0.3</x:v>
      </x:c>
      <x:c r="X18" s="48" t="str">
        <x:v>lead_only_not_asserted</x:v>
      </x:c>
      <x:c r="Y18" s="48" t="str">
        <x:v>textile-sample:ops-tx-017</x:v>
      </x:c>
      <x:c r="Z18" s="48" t="str"/>
      <x:c r="AA18" s="48" t="str"/>
      <x:c r="AB18" s="48" t="str"/>
      <x:c r="AC18" s="48" t="str"/>
      <x:c r="AD18" s="48" t="str">
        <x:v>wave-1-polartec-cordura</x:v>
      </x:c>
    </x:row>
    <x:row r="19">
      <x:c r="A19" s="48" t="str">
        <x:v>OPS-TX-018</x:v>
      </x:c>
      <x:c r="B19" s="48" t="str">
        <x:v>Polartec</x:v>
      </x:c>
      <x:c r="C19" s="48" t="str">
        <x:v>Power Shield Pro</x:v>
      </x:c>
      <x:c r="D19" s="48" t="str">
        <x:v>estrutura_composta</x:v>
      </x:c>
      <x:c r="E19" s="48" t="str">
        <x:v>laminado impermeável respirável</x:v>
      </x:c>
      <x:c r="F19" s="48" t="str">
        <x:v>Página técnica oficial; alguns produtos citam método/resultado de ensaio</x:v>
      </x:c>
      <x:c r="G19" s="48" t="str">
        <x:v>https://www.polartec.com/fabrics</x:v>
      </x:c>
      <x:c r="H19" s="48" t="str">
        <x:v>Alta</x:v>
      </x:c>
      <x:c r="I19" s="48" t="str">
        <x:v>Internacional</x:v>
      </x:c>
      <x:c r="J19" s="48" t="str">
        <x:v>Solicitar amostra ao fabricante/distribuidor</x:v>
      </x:c>
      <x:c r="K19" s="48" t="str">
        <x:v>A solicitar</x:v>
      </x:c>
      <x:c r="L19" s="48" t="str">
        <x:v>Referência localizada</x:v>
      </x:c>
      <x:c r="M19" s="48" t="str">
        <x:v>Candidata</x:v>
      </x:c>
      <x:c r="N19" s="48" t="str">
        <x:v>Operations</x:v>
      </x:c>
      <x:c r="O19" s="48" t="n">
        <x:v>1</x:v>
      </x:c>
      <x:c r="P19" s="48"/>
      <x:c r="Q19" s="48" t="str"/>
      <x:c r="R19" s="48" t="str"/>
      <x:c r="S19" s="48" t="str">
        <x:v>Não revisada</x:v>
      </x:c>
      <x:c r="T19" s="48" t="str">
        <x:v>Confirmar ficha técnica/ensaio e código exato antes da aceitação.</x:v>
      </x:c>
      <x:c r="U19" s="48" t="str">
        <x:v>dimension-revision:structure.family:v0.3</x:v>
      </x:c>
      <x:c r="V19" s="48" t="str">
        <x:v>concept-revision:structure.family.composite_structure:v0.3</x:v>
      </x:c>
      <x:c r="W19" s="48" t="str">
        <x:v>concept-revision:composite.type.laminated:v0.3</x:v>
      </x:c>
      <x:c r="X19" s="48" t="str">
        <x:v>lead_only_not_asserted</x:v>
      </x:c>
      <x:c r="Y19" s="48" t="str">
        <x:v>textile-sample:ops-tx-018</x:v>
      </x:c>
      <x:c r="Z19" s="48" t="str"/>
      <x:c r="AA19" s="48" t="str"/>
      <x:c r="AB19" s="48" t="str"/>
      <x:c r="AC19" s="48" t="str"/>
      <x:c r="AD19" s="48" t="str">
        <x:v>wave-1-polartec-cordura</x:v>
      </x:c>
    </x:row>
    <x:row r="20">
      <x:c r="A20" s="48" t="str">
        <x:v>OPS-TX-019</x:v>
      </x:c>
      <x:c r="B20" s="48" t="str">
        <x:v>Polartec</x:v>
      </x:c>
      <x:c r="C20" s="48" t="str">
        <x:v>Power Shield RPM</x:v>
      </x:c>
      <x:c r="D20" s="48" t="str">
        <x:v>estrutura_composta</x:v>
      </x:c>
      <x:c r="E20" s="48" t="str">
        <x:v>laminado elástico impermeável</x:v>
      </x:c>
      <x:c r="F20" s="48" t="str">
        <x:v>Página técnica oficial; alguns produtos citam método/resultado de ensaio</x:v>
      </x:c>
      <x:c r="G20" s="48" t="str">
        <x:v>https://www.polartec.com/fabrics</x:v>
      </x:c>
      <x:c r="H20" s="48" t="str">
        <x:v>Alta</x:v>
      </x:c>
      <x:c r="I20" s="48" t="str">
        <x:v>Internacional</x:v>
      </x:c>
      <x:c r="J20" s="48" t="str">
        <x:v>Solicitar amostra ao fabricante/distribuidor</x:v>
      </x:c>
      <x:c r="K20" s="48" t="str">
        <x:v>A solicitar</x:v>
      </x:c>
      <x:c r="L20" s="48" t="str">
        <x:v>Referência localizada</x:v>
      </x:c>
      <x:c r="M20" s="48" t="str">
        <x:v>Candidata</x:v>
      </x:c>
      <x:c r="N20" s="48" t="str">
        <x:v>Operations</x:v>
      </x:c>
      <x:c r="O20" s="48" t="n">
        <x:v>1</x:v>
      </x:c>
      <x:c r="P20" s="48"/>
      <x:c r="Q20" s="48" t="str"/>
      <x:c r="R20" s="48" t="str"/>
      <x:c r="S20" s="48" t="str">
        <x:v>Não revisada</x:v>
      </x:c>
      <x:c r="T20" s="48" t="str">
        <x:v>Confirmar ficha técnica/ensaio e código exato antes da aceitação.</x:v>
      </x:c>
      <x:c r="U20" s="48" t="str">
        <x:v>dimension-revision:structure.family:v0.3</x:v>
      </x:c>
      <x:c r="V20" s="48" t="str">
        <x:v>concept-revision:structure.family.composite_structure:v0.3</x:v>
      </x:c>
      <x:c r="W20" s="48" t="str">
        <x:v>concept-revision:composite.type.laminated:v0.3</x:v>
      </x:c>
      <x:c r="X20" s="48" t="str">
        <x:v>lead_only_not_asserted</x:v>
      </x:c>
      <x:c r="Y20" s="48" t="str">
        <x:v>textile-sample:ops-tx-019</x:v>
      </x:c>
      <x:c r="Z20" s="48" t="str"/>
      <x:c r="AA20" s="48" t="str"/>
      <x:c r="AB20" s="48" t="str"/>
      <x:c r="AC20" s="48" t="str"/>
      <x:c r="AD20" s="48" t="str">
        <x:v>wave-1-polartec-cordura</x:v>
      </x:c>
    </x:row>
    <x:row r="21">
      <x:c r="A21" s="48" t="str">
        <x:v>OPS-TX-020</x:v>
      </x:c>
      <x:c r="B21" s="48" t="str">
        <x:v>Polartec</x:v>
      </x:c>
      <x:c r="C21" s="48" t="str">
        <x:v>Power Dry FR</x:v>
      </x:c>
      <x:c r="D21" s="48" t="str">
        <x:v>malha_trama</x:v>
      </x:c>
      <x:c r="E21" s="48" t="str">
        <x:v>malha FR bi-componente</x:v>
      </x:c>
      <x:c r="F21" s="48" t="str">
        <x:v>Página técnica oficial; alguns produtos citam método/resultado de ensaio</x:v>
      </x:c>
      <x:c r="G21" s="48" t="str">
        <x:v>https://www.polartec.com/fabrics</x:v>
      </x:c>
      <x:c r="H21" s="48" t="str">
        <x:v>Alta</x:v>
      </x:c>
      <x:c r="I21" s="48" t="str">
        <x:v>Internacional</x:v>
      </x:c>
      <x:c r="J21" s="48" t="str">
        <x:v>Solicitar amostra ao fabricante/distribuidor</x:v>
      </x:c>
      <x:c r="K21" s="48" t="str">
        <x:v>A solicitar</x:v>
      </x:c>
      <x:c r="L21" s="48" t="str">
        <x:v>Referência localizada</x:v>
      </x:c>
      <x:c r="M21" s="48" t="str">
        <x:v>Candidata</x:v>
      </x:c>
      <x:c r="N21" s="48" t="str">
        <x:v>Operations</x:v>
      </x:c>
      <x:c r="O21" s="48" t="n">
        <x:v>1</x:v>
      </x:c>
      <x:c r="P21" s="48"/>
      <x:c r="Q21" s="48" t="str"/>
      <x:c r="R21" s="48" t="str"/>
      <x:c r="S21" s="48" t="str">
        <x:v>Não revisada</x:v>
      </x:c>
      <x:c r="T21" s="48" t="str">
        <x:v>Confirmar ficha técnica/ensaio e código exato antes da aceitação.</x:v>
      </x:c>
      <x:c r="U21" s="48" t="str">
        <x:v>dimension-revision:structure.family:v0.3</x:v>
      </x:c>
      <x:c r="V21" s="48" t="str">
        <x:v>concept-revision:structure.family.weft_knit:v0.3</x:v>
      </x:c>
      <x:c r="W21" s="48" t="str"/>
      <x:c r="X21" s="48" t="str">
        <x:v>lead_only_not_asserted</x:v>
      </x:c>
      <x:c r="Y21" s="48" t="str">
        <x:v>textile-sample:ops-tx-020</x:v>
      </x:c>
      <x:c r="Z21" s="48" t="str"/>
      <x:c r="AA21" s="48" t="str"/>
      <x:c r="AB21" s="48" t="str"/>
      <x:c r="AC21" s="48" t="str"/>
      <x:c r="AD21" s="48" t="str">
        <x:v>wave-1-polartec-cordura</x:v>
      </x:c>
    </x:row>
    <x:row r="22">
      <x:c r="A22" s="48" t="str">
        <x:v>OPS-TX-021</x:v>
      </x:c>
      <x:c r="B22" s="48" t="str">
        <x:v>CORDURA / INVISTA</x:v>
      </x:c>
      <x:c r="C22" s="48" t="str">
        <x:v>AFT Fabric</x:v>
      </x:c>
      <x:c r="D22" s="48" t="str">
        <x:v>entrelacado_trancado</x:v>
      </x:c>
      <x:c r="E22" s="48" t="str">
        <x:v>mesh técnico</x:v>
      </x:c>
      <x:c r="F22" s="48" t="str">
        <x:v>Página técnica oficial e acesso a especificações/sales sheet via Fabric Finder</x:v>
      </x:c>
      <x:c r="G22" s="48" t="str">
        <x:v>https://cordura.com/find-your-match</x:v>
      </x:c>
      <x:c r="H22" s="48" t="str">
        <x:v>Alta</x:v>
      </x:c>
      <x:c r="I22" s="48" t="str">
        <x:v>Internacional</x:v>
      </x:c>
      <x:c r="J22" s="48" t="str">
        <x:v>Solicitar amostra ao fabricante/distribuidor</x:v>
      </x:c>
      <x:c r="K22" s="48" t="str">
        <x:v>A solicitar</x:v>
      </x:c>
      <x:c r="L22" s="48" t="str">
        <x:v>Referência localizada</x:v>
      </x:c>
      <x:c r="M22" s="48" t="str">
        <x:v>Candidata</x:v>
      </x:c>
      <x:c r="N22" s="48" t="str">
        <x:v>Operations</x:v>
      </x:c>
      <x:c r="O22" s="48" t="n">
        <x:v>1</x:v>
      </x:c>
      <x:c r="P22" s="48"/>
      <x:c r="Q22" s="48" t="str"/>
      <x:c r="R22" s="48" t="str"/>
      <x:c r="S22" s="48" t="str">
        <x:v>Não revisada</x:v>
      </x:c>
      <x:c r="T22" s="48" t="str">
        <x:v>Confirmar ficha técnica/ensaio e código exato antes da aceitação.</x:v>
      </x:c>
      <x:c r="U22" s="48" t="str">
        <x:v>dimension-revision:structure.family:v0.3</x:v>
      </x:c>
      <x:c r="V22" s="48" t="str">
        <x:v>concept-revision:structure.family.interlaced_braided:v0.3</x:v>
      </x:c>
      <x:c r="W22" s="48" t="str"/>
      <x:c r="X22" s="48" t="str">
        <x:v>lead_only_not_asserted</x:v>
      </x:c>
      <x:c r="Y22" s="48" t="str">
        <x:v>textile-sample:ops-tx-021</x:v>
      </x:c>
      <x:c r="Z22" s="48" t="str"/>
      <x:c r="AA22" s="48" t="str"/>
      <x:c r="AB22" s="48" t="str"/>
      <x:c r="AC22" s="48" t="str"/>
      <x:c r="AD22" s="48" t="str">
        <x:v>wave-1-polartec-cordura</x:v>
      </x:c>
    </x:row>
    <x:row r="23">
      <x:c r="A23" s="48" t="str">
        <x:v>OPS-TX-022</x:v>
      </x:c>
      <x:c r="B23" s="48" t="str">
        <x:v>CORDURA / INVISTA</x:v>
      </x:c>
      <x:c r="C23" s="48" t="str">
        <x:v>Ballistic Fabric</x:v>
      </x:c>
      <x:c r="D23" s="48" t="str">
        <x:v>tecido_plano</x:v>
      </x:c>
      <x:c r="E23" s="48" t="str">
        <x:v>tecido plano nylon de alta tenacidade</x:v>
      </x:c>
      <x:c r="F23" s="48" t="str">
        <x:v>Página técnica oficial e acesso a especificações/sales sheet via Fabric Finder</x:v>
      </x:c>
      <x:c r="G23" s="48" t="str">
        <x:v>https://cordura.com/find-your-match</x:v>
      </x:c>
      <x:c r="H23" s="48" t="str">
        <x:v>Alta</x:v>
      </x:c>
      <x:c r="I23" s="48" t="str">
        <x:v>Internacional</x:v>
      </x:c>
      <x:c r="J23" s="48" t="str">
        <x:v>Solicitar amostra ao fabricante/distribuidor</x:v>
      </x:c>
      <x:c r="K23" s="48" t="str">
        <x:v>A solicitar</x:v>
      </x:c>
      <x:c r="L23" s="48" t="str">
        <x:v>Referência localizada</x:v>
      </x:c>
      <x:c r="M23" s="48" t="str">
        <x:v>Candidata</x:v>
      </x:c>
      <x:c r="N23" s="48" t="str">
        <x:v>Operations</x:v>
      </x:c>
      <x:c r="O23" s="48" t="n">
        <x:v>1</x:v>
      </x:c>
      <x:c r="P23" s="48"/>
      <x:c r="Q23" s="48" t="str"/>
      <x:c r="R23" s="48" t="str"/>
      <x:c r="S23" s="48" t="str">
        <x:v>Não revisada</x:v>
      </x:c>
      <x:c r="T23" s="48" t="str">
        <x:v>Confirmar ficha técnica/ensaio e código exato antes da aceitação.</x:v>
      </x:c>
      <x:c r="U23" s="48" t="str">
        <x:v>dimension-revision:structure.family:v0.3</x:v>
      </x:c>
      <x:c r="V23" s="48" t="str">
        <x:v>concept-revision:structure.family.woven_fabric:v0.3</x:v>
      </x:c>
      <x:c r="W23" s="48" t="str"/>
      <x:c r="X23" s="48" t="str">
        <x:v>lead_only_not_asserted</x:v>
      </x:c>
      <x:c r="Y23" s="48" t="str">
        <x:v>textile-sample:ops-tx-022</x:v>
      </x:c>
      <x:c r="Z23" s="48" t="str"/>
      <x:c r="AA23" s="48" t="str"/>
      <x:c r="AB23" s="48" t="str"/>
      <x:c r="AC23" s="48" t="str"/>
      <x:c r="AD23" s="48" t="str">
        <x:v>wave-1-polartec-cordura</x:v>
      </x:c>
    </x:row>
    <x:row r="24">
      <x:c r="A24" s="48" t="str">
        <x:v>OPS-TX-023</x:v>
      </x:c>
      <x:c r="B24" s="48" t="str">
        <x:v>CORDURA / INVISTA</x:v>
      </x:c>
      <x:c r="C24" s="48" t="str">
        <x:v>Classic Fabric 500D</x:v>
      </x:c>
      <x:c r="D24" s="48" t="str">
        <x:v>tecido_plano</x:v>
      </x:c>
      <x:c r="E24" s="48" t="str">
        <x:v>tecido plano fio texturizado</x:v>
      </x:c>
      <x:c r="F24" s="48" t="str">
        <x:v>Página técnica oficial e acesso a especificações/sales sheet via Fabric Finder</x:v>
      </x:c>
      <x:c r="G24" s="48" t="str">
        <x:v>https://cordura.com/find-your-match</x:v>
      </x:c>
      <x:c r="H24" s="48" t="str">
        <x:v>Alta</x:v>
      </x:c>
      <x:c r="I24" s="48" t="str">
        <x:v>Internacional</x:v>
      </x:c>
      <x:c r="J24" s="48" t="str">
        <x:v>Solicitar amostra ao fabricante/distribuidor</x:v>
      </x:c>
      <x:c r="K24" s="48" t="str">
        <x:v>A solicitar</x:v>
      </x:c>
      <x:c r="L24" s="48" t="str">
        <x:v>Referência localizada</x:v>
      </x:c>
      <x:c r="M24" s="48" t="str">
        <x:v>Candidata</x:v>
      </x:c>
      <x:c r="N24" s="48" t="str">
        <x:v>Operations</x:v>
      </x:c>
      <x:c r="O24" s="48" t="n">
        <x:v>1</x:v>
      </x:c>
      <x:c r="P24" s="48"/>
      <x:c r="Q24" s="48" t="str"/>
      <x:c r="R24" s="48" t="str"/>
      <x:c r="S24" s="48" t="str">
        <x:v>Não revisada</x:v>
      </x:c>
      <x:c r="T24" s="48" t="str">
        <x:v>Confirmar ficha técnica/ensaio e código exato antes da aceitação.</x:v>
      </x:c>
      <x:c r="U24" s="48" t="str">
        <x:v>dimension-revision:structure.family:v0.3</x:v>
      </x:c>
      <x:c r="V24" s="48" t="str">
        <x:v>concept-revision:structure.family.woven_fabric:v0.3</x:v>
      </x:c>
      <x:c r="W24" s="48" t="str"/>
      <x:c r="X24" s="48" t="str">
        <x:v>lead_only_not_asserted</x:v>
      </x:c>
      <x:c r="Y24" s="48" t="str">
        <x:v>textile-sample:ops-tx-023</x:v>
      </x:c>
      <x:c r="Z24" s="48" t="str"/>
      <x:c r="AA24" s="48" t="str"/>
      <x:c r="AB24" s="48" t="str"/>
      <x:c r="AC24" s="48" t="str"/>
      <x:c r="AD24" s="48" t="str">
        <x:v>wave-1-polartec-cordura</x:v>
      </x:c>
    </x:row>
    <x:row r="25">
      <x:c r="A25" s="48" t="str">
        <x:v>OPS-TX-024</x:v>
      </x:c>
      <x:c r="B25" s="48" t="str">
        <x:v>CORDURA / INVISTA</x:v>
      </x:c>
      <x:c r="C25" s="48" t="str">
        <x:v>Classic Fabric 1000D</x:v>
      </x:c>
      <x:c r="D25" s="48" t="str">
        <x:v>tecido_plano</x:v>
      </x:c>
      <x:c r="E25" s="48" t="str">
        <x:v>tecido plano fio texturizado</x:v>
      </x:c>
      <x:c r="F25" s="48" t="str">
        <x:v>Página técnica oficial e acesso a especificações/sales sheet via Fabric Finder</x:v>
      </x:c>
      <x:c r="G25" s="48" t="str">
        <x:v>https://cordura.com/find-your-match</x:v>
      </x:c>
      <x:c r="H25" s="48" t="str">
        <x:v>Alta</x:v>
      </x:c>
      <x:c r="I25" s="48" t="str">
        <x:v>Internacional</x:v>
      </x:c>
      <x:c r="J25" s="48" t="str">
        <x:v>Solicitar amostra ao fabricante/distribuidor</x:v>
      </x:c>
      <x:c r="K25" s="48" t="str">
        <x:v>A solicitar</x:v>
      </x:c>
      <x:c r="L25" s="48" t="str">
        <x:v>Referência localizada</x:v>
      </x:c>
      <x:c r="M25" s="48" t="str">
        <x:v>Candidata</x:v>
      </x:c>
      <x:c r="N25" s="48" t="str">
        <x:v>Operations</x:v>
      </x:c>
      <x:c r="O25" s="48" t="n">
        <x:v>1</x:v>
      </x:c>
      <x:c r="P25" s="48"/>
      <x:c r="Q25" s="48" t="str"/>
      <x:c r="R25" s="48" t="str"/>
      <x:c r="S25" s="48" t="str">
        <x:v>Não revisada</x:v>
      </x:c>
      <x:c r="T25" s="48" t="str">
        <x:v>Confirmar ficha técnica/ensaio e código exato antes da aceitação.</x:v>
      </x:c>
      <x:c r="U25" s="48" t="str">
        <x:v>dimension-revision:structure.family:v0.3</x:v>
      </x:c>
      <x:c r="V25" s="48" t="str">
        <x:v>concept-revision:structure.family.woven_fabric:v0.3</x:v>
      </x:c>
      <x:c r="W25" s="48" t="str"/>
      <x:c r="X25" s="48" t="str">
        <x:v>lead_only_not_asserted</x:v>
      </x:c>
      <x:c r="Y25" s="48" t="str">
        <x:v>textile-sample:ops-tx-024</x:v>
      </x:c>
      <x:c r="Z25" s="48" t="str"/>
      <x:c r="AA25" s="48" t="str"/>
      <x:c r="AB25" s="48" t="str"/>
      <x:c r="AC25" s="48" t="str"/>
      <x:c r="AD25" s="48" t="str">
        <x:v>wave-1-polartec-cordura</x:v>
      </x:c>
    </x:row>
    <x:row r="26">
      <x:c r="A26" s="48" t="str">
        <x:v>OPS-TX-025</x:v>
      </x:c>
      <x:c r="B26" s="48" t="str">
        <x:v>CORDURA / INVISTA</x:v>
      </x:c>
      <x:c r="C26" s="48" t="str">
        <x:v>Combat Wool Fabric</x:v>
      </x:c>
      <x:c r="D26" s="48" t="str">
        <x:v>tecido_plano</x:v>
      </x:c>
      <x:c r="E26" s="48" t="str">
        <x:v>tecido plano mistura lã/nylon</x:v>
      </x:c>
      <x:c r="F26" s="48" t="str">
        <x:v>Página técnica oficial e acesso a especificações/sales sheet via Fabric Finder</x:v>
      </x:c>
      <x:c r="G26" s="48" t="str">
        <x:v>https://cordura.com/find-your-match</x:v>
      </x:c>
      <x:c r="H26" s="48" t="str">
        <x:v>Alta</x:v>
      </x:c>
      <x:c r="I26" s="48" t="str">
        <x:v>Internacional</x:v>
      </x:c>
      <x:c r="J26" s="48" t="str">
        <x:v>Solicitar amostra ao fabricante/distribuidor</x:v>
      </x:c>
      <x:c r="K26" s="48" t="str">
        <x:v>A solicitar</x:v>
      </x:c>
      <x:c r="L26" s="48" t="str">
        <x:v>Referência localizada</x:v>
      </x:c>
      <x:c r="M26" s="48" t="str">
        <x:v>Candidata</x:v>
      </x:c>
      <x:c r="N26" s="48" t="str">
        <x:v>Operations</x:v>
      </x:c>
      <x:c r="O26" s="48" t="n">
        <x:v>1</x:v>
      </x:c>
      <x:c r="P26" s="48"/>
      <x:c r="Q26" s="48" t="str"/>
      <x:c r="R26" s="48" t="str"/>
      <x:c r="S26" s="48" t="str">
        <x:v>Não revisada</x:v>
      </x:c>
      <x:c r="T26" s="48" t="str">
        <x:v>Confirmar ficha técnica/ensaio e código exato antes da aceitação.</x:v>
      </x:c>
      <x:c r="U26" s="48" t="str">
        <x:v>dimension-revision:structure.family:v0.3</x:v>
      </x:c>
      <x:c r="V26" s="48" t="str">
        <x:v>concept-revision:structure.family.woven_fabric:v0.3</x:v>
      </x:c>
      <x:c r="W26" s="48" t="str"/>
      <x:c r="X26" s="48" t="str">
        <x:v>lead_only_not_asserted</x:v>
      </x:c>
      <x:c r="Y26" s="48" t="str">
        <x:v>textile-sample:ops-tx-025</x:v>
      </x:c>
      <x:c r="Z26" s="48" t="str"/>
      <x:c r="AA26" s="48" t="str"/>
      <x:c r="AB26" s="48" t="str"/>
      <x:c r="AC26" s="48" t="str"/>
      <x:c r="AD26" s="48" t="str">
        <x:v>wave-1-polartec-cordura</x:v>
      </x:c>
    </x:row>
    <x:row r="27">
      <x:c r="A27" s="48" t="str">
        <x:v>OPS-TX-026</x:v>
      </x:c>
      <x:c r="B27" s="48" t="str">
        <x:v>CORDURA / INVISTA</x:v>
      </x:c>
      <x:c r="C27" s="48" t="str">
        <x:v>Denim Fabric</x:v>
      </x:c>
      <x:c r="D27" s="48" t="str">
        <x:v>tecido_plano</x:v>
      </x:c>
      <x:c r="E27" s="48" t="str">
        <x:v>sarja/denim</x:v>
      </x:c>
      <x:c r="F27" s="48" t="str">
        <x:v>Página técnica oficial e acesso a especificações/sales sheet via Fabric Finder</x:v>
      </x:c>
      <x:c r="G27" s="48" t="str">
        <x:v>https://cordura.com/find-your-match</x:v>
      </x:c>
      <x:c r="H27" s="48" t="str">
        <x:v>Alta</x:v>
      </x:c>
      <x:c r="I27" s="48" t="str">
        <x:v>Internacional</x:v>
      </x:c>
      <x:c r="J27" s="48" t="str">
        <x:v>Solicitar amostra ao fabricante/distribuidor</x:v>
      </x:c>
      <x:c r="K27" s="48" t="str">
        <x:v>A solicitar</x:v>
      </x:c>
      <x:c r="L27" s="48" t="str">
        <x:v>Referência localizada</x:v>
      </x:c>
      <x:c r="M27" s="48" t="str">
        <x:v>Candidata</x:v>
      </x:c>
      <x:c r="N27" s="48" t="str">
        <x:v>Operations</x:v>
      </x:c>
      <x:c r="O27" s="48" t="n">
        <x:v>1</x:v>
      </x:c>
      <x:c r="P27" s="48"/>
      <x:c r="Q27" s="48" t="str"/>
      <x:c r="R27" s="48" t="str"/>
      <x:c r="S27" s="48" t="str">
        <x:v>Não revisada</x:v>
      </x:c>
      <x:c r="T27" s="48" t="str">
        <x:v>Confirmar ficha técnica/ensaio e código exato antes da aceitação.</x:v>
      </x:c>
      <x:c r="U27" s="48" t="str">
        <x:v>dimension-revision:structure.family:v0.3</x:v>
      </x:c>
      <x:c r="V27" s="48" t="str">
        <x:v>concept-revision:structure.family.woven_fabric:v0.3</x:v>
      </x:c>
      <x:c r="W27" s="48" t="str">
        <x:v>concept-revision:construction.primary.twill:v0.3</x:v>
      </x:c>
      <x:c r="X27" s="48" t="str">
        <x:v>lead_only_not_asserted</x:v>
      </x:c>
      <x:c r="Y27" s="48" t="str">
        <x:v>textile-sample:ops-tx-026</x:v>
      </x:c>
      <x:c r="Z27" s="48" t="str"/>
      <x:c r="AA27" s="48" t="str"/>
      <x:c r="AB27" s="48" t="str"/>
      <x:c r="AC27" s="48" t="str"/>
      <x:c r="AD27" s="48" t="str">
        <x:v>wave-1-polartec-cordura</x:v>
      </x:c>
    </x:row>
    <x:row r="28">
      <x:c r="A28" s="48" t="str">
        <x:v>OPS-TX-027</x:v>
      </x:c>
      <x:c r="B28" s="48" t="str">
        <x:v>CORDURA / INVISTA</x:v>
      </x:c>
      <x:c r="C28" s="48" t="str">
        <x:v>Hi-Vis T485 Fabric</x:v>
      </x:c>
      <x:c r="D28" s="48" t="str">
        <x:v>tecido_plano</x:v>
      </x:c>
      <x:c r="E28" s="48" t="str">
        <x:v>tecido plano alta visibilidade</x:v>
      </x:c>
      <x:c r="F28" s="48" t="str">
        <x:v>Página técnica oficial e acesso a especificações/sales sheet via Fabric Finder</x:v>
      </x:c>
      <x:c r="G28" s="48" t="str">
        <x:v>https://cordura.com/find-your-match</x:v>
      </x:c>
      <x:c r="H28" s="48" t="str">
        <x:v>Alta</x:v>
      </x:c>
      <x:c r="I28" s="48" t="str">
        <x:v>Internacional</x:v>
      </x:c>
      <x:c r="J28" s="48" t="str">
        <x:v>Solicitar amostra ao fabricante/distribuidor</x:v>
      </x:c>
      <x:c r="K28" s="48" t="str">
        <x:v>A solicitar</x:v>
      </x:c>
      <x:c r="L28" s="48" t="str">
        <x:v>Referência localizada</x:v>
      </x:c>
      <x:c r="M28" s="48" t="str">
        <x:v>Candidata</x:v>
      </x:c>
      <x:c r="N28" s="48" t="str">
        <x:v>Operations</x:v>
      </x:c>
      <x:c r="O28" s="48" t="n">
        <x:v>1</x:v>
      </x:c>
      <x:c r="P28" s="48"/>
      <x:c r="Q28" s="48" t="str"/>
      <x:c r="R28" s="48" t="str"/>
      <x:c r="S28" s="48" t="str">
        <x:v>Não revisada</x:v>
      </x:c>
      <x:c r="T28" s="48" t="str">
        <x:v>Confirmar ficha técnica/ensaio e código exato antes da aceitação.</x:v>
      </x:c>
      <x:c r="U28" s="48" t="str">
        <x:v>dimension-revision:structure.family:v0.3</x:v>
      </x:c>
      <x:c r="V28" s="48" t="str">
        <x:v>concept-revision:structure.family.woven_fabric:v0.3</x:v>
      </x:c>
      <x:c r="W28" s="48" t="str"/>
      <x:c r="X28" s="48" t="str">
        <x:v>lead_only_not_asserted</x:v>
      </x:c>
      <x:c r="Y28" s="48" t="str">
        <x:v>textile-sample:ops-tx-027</x:v>
      </x:c>
      <x:c r="Z28" s="48" t="str"/>
      <x:c r="AA28" s="48" t="str"/>
      <x:c r="AB28" s="48" t="str"/>
      <x:c r="AC28" s="48" t="str"/>
      <x:c r="AD28" s="48" t="str">
        <x:v>wave-1-polartec-cordura</x:v>
      </x:c>
    </x:row>
    <x:row r="29">
      <x:c r="A29" s="48" t="str">
        <x:v>OPS-TX-028</x:v>
      </x:c>
      <x:c r="B29" s="48" t="str">
        <x:v>CORDURA / INVISTA</x:v>
      </x:c>
      <x:c r="C29" s="48" t="str">
        <x:v>HP Fabric</x:v>
      </x:c>
      <x:c r="D29" s="48" t="str">
        <x:v>tecido_plano</x:v>
      </x:c>
      <x:c r="E29" s="48" t="str">
        <x:v>tecido plano poliéster para impressão</x:v>
      </x:c>
      <x:c r="F29" s="48" t="str">
        <x:v>Página técnica oficial e acesso a especificações/sales sheet via Fabric Finder</x:v>
      </x:c>
      <x:c r="G29" s="48" t="str">
        <x:v>https://cordura.com/find-your-match</x:v>
      </x:c>
      <x:c r="H29" s="48" t="str">
        <x:v>Alta</x:v>
      </x:c>
      <x:c r="I29" s="48" t="str">
        <x:v>Internacional</x:v>
      </x:c>
      <x:c r="J29" s="48" t="str">
        <x:v>Solicitar amostra ao fabricante/distribuidor</x:v>
      </x:c>
      <x:c r="K29" s="48" t="str">
        <x:v>A solicitar</x:v>
      </x:c>
      <x:c r="L29" s="48" t="str">
        <x:v>Referência localizada</x:v>
      </x:c>
      <x:c r="M29" s="48" t="str">
        <x:v>Candidata</x:v>
      </x:c>
      <x:c r="N29" s="48" t="str">
        <x:v>Operations</x:v>
      </x:c>
      <x:c r="O29" s="48" t="n">
        <x:v>1</x:v>
      </x:c>
      <x:c r="P29" s="48"/>
      <x:c r="Q29" s="48" t="str"/>
      <x:c r="R29" s="48" t="str"/>
      <x:c r="S29" s="48" t="str">
        <x:v>Não revisada</x:v>
      </x:c>
      <x:c r="T29" s="48" t="str">
        <x:v>Confirmar ficha técnica/ensaio e código exato antes da aceitação.</x:v>
      </x:c>
      <x:c r="U29" s="48" t="str">
        <x:v>dimension-revision:structure.family:v0.3</x:v>
      </x:c>
      <x:c r="V29" s="48" t="str">
        <x:v>concept-revision:structure.family.woven_fabric:v0.3</x:v>
      </x:c>
      <x:c r="W29" s="48" t="str"/>
      <x:c r="X29" s="48" t="str">
        <x:v>lead_only_not_asserted</x:v>
      </x:c>
      <x:c r="Y29" s="48" t="str">
        <x:v>textile-sample:ops-tx-028</x:v>
      </x:c>
      <x:c r="Z29" s="48" t="str"/>
      <x:c r="AA29" s="48" t="str"/>
      <x:c r="AB29" s="48" t="str"/>
      <x:c r="AC29" s="48" t="str"/>
      <x:c r="AD29" s="48" t="str">
        <x:v>wave-1-polartec-cordura</x:v>
      </x:c>
    </x:row>
    <x:row r="30">
      <x:c r="A30" s="48" t="str">
        <x:v>OPS-TX-029</x:v>
      </x:c>
      <x:c r="B30" s="48" t="str">
        <x:v>CORDURA / INVISTA</x:v>
      </x:c>
      <x:c r="C30" s="48" t="str">
        <x:v>Lite Fabric</x:v>
      </x:c>
      <x:c r="D30" s="48" t="str">
        <x:v>tecido_plano</x:v>
      </x:c>
      <x:c r="E30" s="48" t="str">
        <x:v>ripstop/cestaria/dobby leve</x:v>
      </x:c>
      <x:c r="F30" s="48" t="str">
        <x:v>Página técnica oficial e acesso a especificações/sales sheet via Fabric Finder</x:v>
      </x:c>
      <x:c r="G30" s="48" t="str">
        <x:v>https://cordura.com/find-your-match</x:v>
      </x:c>
      <x:c r="H30" s="48" t="str">
        <x:v>Alta</x:v>
      </x:c>
      <x:c r="I30" s="48" t="str">
        <x:v>Internacional</x:v>
      </x:c>
      <x:c r="J30" s="48" t="str">
        <x:v>Solicitar amostra ao fabricante/distribuidor</x:v>
      </x:c>
      <x:c r="K30" s="48" t="str">
        <x:v>A solicitar</x:v>
      </x:c>
      <x:c r="L30" s="48" t="str">
        <x:v>Referência localizada</x:v>
      </x:c>
      <x:c r="M30" s="48" t="str">
        <x:v>Candidata</x:v>
      </x:c>
      <x:c r="N30" s="48" t="str">
        <x:v>Operations</x:v>
      </x:c>
      <x:c r="O30" s="48" t="n">
        <x:v>1</x:v>
      </x:c>
      <x:c r="P30" s="48"/>
      <x:c r="Q30" s="48" t="str"/>
      <x:c r="R30" s="48" t="str"/>
      <x:c r="S30" s="48" t="str">
        <x:v>Não revisada</x:v>
      </x:c>
      <x:c r="T30" s="48" t="str">
        <x:v>Confirmar ficha técnica/ensaio e código exato antes da aceitação.</x:v>
      </x:c>
      <x:c r="U30" s="48" t="str">
        <x:v>dimension-revision:structure.family:v0.3</x:v>
      </x:c>
      <x:c r="V30" s="48" t="str">
        <x:v>concept-revision:structure.family.woven_fabric:v0.3</x:v>
      </x:c>
      <x:c r="W30" s="48" t="str">
        <x:v>concept-revision:patterning.special_construction.ripstop:v0.3; concept-revision:patterning.mechanism.dobby:v0.3</x:v>
      </x:c>
      <x:c r="X30" s="48" t="str">
        <x:v>lead_only_not_asserted</x:v>
      </x:c>
      <x:c r="Y30" s="48" t="str">
        <x:v>textile-sample:ops-tx-029</x:v>
      </x:c>
      <x:c r="Z30" s="48" t="str"/>
      <x:c r="AA30" s="48" t="str"/>
      <x:c r="AB30" s="48" t="str"/>
      <x:c r="AC30" s="48" t="str"/>
      <x:c r="AD30" s="48" t="str">
        <x:v>wave-1-polartec-cordura</x:v>
      </x:c>
    </x:row>
    <x:row r="31">
      <x:c r="A31" s="48" t="str">
        <x:v>OPS-TX-030</x:v>
      </x:c>
      <x:c r="B31" s="48" t="str">
        <x:v>CORDURA / INVISTA</x:v>
      </x:c>
      <x:c r="C31" s="48" t="str">
        <x:v>Naturalle Fabric</x:v>
      </x:c>
      <x:c r="D31" s="48" t="str">
        <x:v>tecido_plano</x:v>
      </x:c>
      <x:c r="E31" s="48" t="str">
        <x:v>tafetá/ripstop/dupla face/dobby</x:v>
      </x:c>
      <x:c r="F31" s="48" t="str">
        <x:v>Página técnica oficial e acesso a especificações/sales sheet via Fabric Finder</x:v>
      </x:c>
      <x:c r="G31" s="48" t="str">
        <x:v>https://cordura.com/find-your-match</x:v>
      </x:c>
      <x:c r="H31" s="48" t="str">
        <x:v>Alta</x:v>
      </x:c>
      <x:c r="I31" s="48" t="str">
        <x:v>Internacional</x:v>
      </x:c>
      <x:c r="J31" s="48" t="str">
        <x:v>Solicitar amostra ao fabricante/distribuidor</x:v>
      </x:c>
      <x:c r="K31" s="48" t="str">
        <x:v>A solicitar</x:v>
      </x:c>
      <x:c r="L31" s="48" t="str">
        <x:v>Referência localizada</x:v>
      </x:c>
      <x:c r="M31" s="48" t="str">
        <x:v>Candidata</x:v>
      </x:c>
      <x:c r="N31" s="48" t="str">
        <x:v>Operations</x:v>
      </x:c>
      <x:c r="O31" s="48" t="n">
        <x:v>1</x:v>
      </x:c>
      <x:c r="P31" s="48"/>
      <x:c r="Q31" s="48" t="str"/>
      <x:c r="R31" s="48" t="str"/>
      <x:c r="S31" s="48" t="str">
        <x:v>Não revisada</x:v>
      </x:c>
      <x:c r="T31" s="48" t="str">
        <x:v>Confirmar ficha técnica/ensaio e código exato antes da aceitação.</x:v>
      </x:c>
      <x:c r="U31" s="48" t="str">
        <x:v>dimension-revision:structure.family:v0.3</x:v>
      </x:c>
      <x:c r="V31" s="48" t="str">
        <x:v>concept-revision:structure.family.woven_fabric:v0.3</x:v>
      </x:c>
      <x:c r="W31" s="48" t="str">
        <x:v>concept-revision:construction.primary.plain_weave:v0.3; concept-revision:patterning.special_construction.ripstop:v0.3; concept-revision:patterning.mechanism.dobby:v0.3; concept-revision:patterning.surface_multilayer.double_face:v0.3</x:v>
      </x:c>
      <x:c r="X31" s="48" t="str">
        <x:v>lead_only_not_asserted</x:v>
      </x:c>
      <x:c r="Y31" s="48" t="str">
        <x:v>textile-sample:ops-tx-030</x:v>
      </x:c>
      <x:c r="Z31" s="48" t="str"/>
      <x:c r="AA31" s="48" t="str"/>
      <x:c r="AB31" s="48" t="str"/>
      <x:c r="AC31" s="48" t="str"/>
      <x:c r="AD31" s="48" t="str">
        <x:v>wave-1-polartec-cordura</x:v>
      </x:c>
    </x:row>
    <x:row r="32">
      <x:c r="A32" s="48" t="str">
        <x:v>OPS-TX-031</x:v>
      </x:c>
      <x:c r="B32" s="48" t="str">
        <x:v>CORDURA / INVISTA</x:v>
      </x:c>
      <x:c r="C32" s="48" t="str">
        <x:v>Naturalle Knit</x:v>
      </x:c>
      <x:c r="D32" s="48" t="str">
        <x:v>malha_trama</x:v>
      </x:c>
      <x:c r="E32" s="48" t="str">
        <x:v>malha técnica leve</x:v>
      </x:c>
      <x:c r="F32" s="48" t="str">
        <x:v>Página técnica oficial e acesso a especificações/sales sheet via Fabric Finder</x:v>
      </x:c>
      <x:c r="G32" s="48" t="str">
        <x:v>https://cordura.com/find-your-match</x:v>
      </x:c>
      <x:c r="H32" s="48" t="str">
        <x:v>Alta</x:v>
      </x:c>
      <x:c r="I32" s="48" t="str">
        <x:v>Internacional</x:v>
      </x:c>
      <x:c r="J32" s="48" t="str">
        <x:v>Solicitar amostra ao fabricante/distribuidor</x:v>
      </x:c>
      <x:c r="K32" s="48" t="str">
        <x:v>A solicitar</x:v>
      </x:c>
      <x:c r="L32" s="48" t="str">
        <x:v>Referência localizada</x:v>
      </x:c>
      <x:c r="M32" s="48" t="str">
        <x:v>Candidata</x:v>
      </x:c>
      <x:c r="N32" s="48" t="str">
        <x:v>Operations</x:v>
      </x:c>
      <x:c r="O32" s="48" t="n">
        <x:v>1</x:v>
      </x:c>
      <x:c r="P32" s="48"/>
      <x:c r="Q32" s="48" t="str"/>
      <x:c r="R32" s="48" t="str"/>
      <x:c r="S32" s="48" t="str">
        <x:v>Não revisada</x:v>
      </x:c>
      <x:c r="T32" s="48" t="str">
        <x:v>Confirmar ficha técnica/ensaio e código exato antes da aceitação.</x:v>
      </x:c>
      <x:c r="U32" s="48" t="str">
        <x:v>dimension-revision:structure.family:v0.3</x:v>
      </x:c>
      <x:c r="V32" s="48" t="str">
        <x:v>concept-revision:structure.family.weft_knit:v0.3</x:v>
      </x:c>
      <x:c r="W32" s="48" t="str"/>
      <x:c r="X32" s="48" t="str">
        <x:v>lead_only_not_asserted</x:v>
      </x:c>
      <x:c r="Y32" s="48" t="str">
        <x:v>textile-sample:ops-tx-031</x:v>
      </x:c>
      <x:c r="Z32" s="48" t="str"/>
      <x:c r="AA32" s="48" t="str"/>
      <x:c r="AB32" s="48" t="str"/>
      <x:c r="AC32" s="48" t="str"/>
      <x:c r="AD32" s="48" t="str">
        <x:v>wave-1-polartec-cordura</x:v>
      </x:c>
    </x:row>
    <x:row r="33">
      <x:c r="A33" s="48" t="str">
        <x:v>OPS-TX-032</x:v>
      </x:c>
      <x:c r="B33" s="48" t="str">
        <x:v>CORDURA / INVISTA</x:v>
      </x:c>
      <x:c r="C33" s="48" t="str">
        <x:v>NYCO Fabric</x:v>
      </x:c>
      <x:c r="D33" s="48" t="str">
        <x:v>tecido_plano</x:v>
      </x:c>
      <x:c r="E33" s="48" t="str">
        <x:v>tecido plano nylon/algodão</x:v>
      </x:c>
      <x:c r="F33" s="48" t="str">
        <x:v>Página técnica oficial e acesso a especificações/sales sheet via Fabric Finder</x:v>
      </x:c>
      <x:c r="G33" s="48" t="str">
        <x:v>https://cordura.com/find-your-match</x:v>
      </x:c>
      <x:c r="H33" s="48" t="str">
        <x:v>Alta</x:v>
      </x:c>
      <x:c r="I33" s="48" t="str">
        <x:v>Internacional</x:v>
      </x:c>
      <x:c r="J33" s="48" t="str">
        <x:v>Solicitar amostra ao fabricante/distribuidor</x:v>
      </x:c>
      <x:c r="K33" s="48" t="str">
        <x:v>A solicitar</x:v>
      </x:c>
      <x:c r="L33" s="48" t="str">
        <x:v>Referência localizada</x:v>
      </x:c>
      <x:c r="M33" s="48" t="str">
        <x:v>Candidata</x:v>
      </x:c>
      <x:c r="N33" s="48" t="str">
        <x:v>Operations</x:v>
      </x:c>
      <x:c r="O33" s="48" t="n">
        <x:v>1</x:v>
      </x:c>
      <x:c r="P33" s="48"/>
      <x:c r="Q33" s="48" t="str"/>
      <x:c r="R33" s="48" t="str"/>
      <x:c r="S33" s="48" t="str">
        <x:v>Não revisada</x:v>
      </x:c>
      <x:c r="T33" s="48" t="str">
        <x:v>Confirmar ficha técnica/ensaio e código exato antes da aceitação.</x:v>
      </x:c>
      <x:c r="U33" s="48" t="str">
        <x:v>dimension-revision:structure.family:v0.3</x:v>
      </x:c>
      <x:c r="V33" s="48" t="str">
        <x:v>concept-revision:structure.family.woven_fabric:v0.3</x:v>
      </x:c>
      <x:c r="W33" s="48" t="str"/>
      <x:c r="X33" s="48" t="str">
        <x:v>lead_only_not_asserted</x:v>
      </x:c>
      <x:c r="Y33" s="48" t="str">
        <x:v>textile-sample:ops-tx-032</x:v>
      </x:c>
      <x:c r="Z33" s="48" t="str"/>
      <x:c r="AA33" s="48" t="str"/>
      <x:c r="AB33" s="48" t="str"/>
      <x:c r="AC33" s="48" t="str"/>
      <x:c r="AD33" s="48" t="str">
        <x:v>wave-1-polartec-cordura</x:v>
      </x:c>
    </x:row>
    <x:row r="34">
      <x:c r="A34" s="48" t="str">
        <x:v>OPS-TX-033</x:v>
      </x:c>
      <x:c r="B34" s="48" t="str">
        <x:v>CORDURA / INVISTA</x:v>
      </x:c>
      <x:c r="C34" s="48" t="str">
        <x:v>NYCO Knit</x:v>
      </x:c>
      <x:c r="D34" s="48" t="str">
        <x:v>malha_trama</x:v>
      </x:c>
      <x:c r="E34" s="48" t="str">
        <x:v>malha nylon/algodão</x:v>
      </x:c>
      <x:c r="F34" s="48" t="str">
        <x:v>Página técnica oficial e acesso a especificações/sales sheet via Fabric Finder</x:v>
      </x:c>
      <x:c r="G34" s="48" t="str">
        <x:v>https://cordura.com/find-your-match</x:v>
      </x:c>
      <x:c r="H34" s="48" t="str">
        <x:v>Alta</x:v>
      </x:c>
      <x:c r="I34" s="48" t="str">
        <x:v>Internacional</x:v>
      </x:c>
      <x:c r="J34" s="48" t="str">
        <x:v>Solicitar amostra ao fabricante/distribuidor</x:v>
      </x:c>
      <x:c r="K34" s="48" t="str">
        <x:v>A solicitar</x:v>
      </x:c>
      <x:c r="L34" s="48" t="str">
        <x:v>Referência localizada</x:v>
      </x:c>
      <x:c r="M34" s="48" t="str">
        <x:v>Candidata</x:v>
      </x:c>
      <x:c r="N34" s="48" t="str">
        <x:v>Operations</x:v>
      </x:c>
      <x:c r="O34" s="48" t="n">
        <x:v>1</x:v>
      </x:c>
      <x:c r="P34" s="48"/>
      <x:c r="Q34" s="48" t="str"/>
      <x:c r="R34" s="48" t="str"/>
      <x:c r="S34" s="48" t="str">
        <x:v>Não revisada</x:v>
      </x:c>
      <x:c r="T34" s="48" t="str">
        <x:v>Confirmar ficha técnica/ensaio e código exato antes da aceitação.</x:v>
      </x:c>
      <x:c r="U34" s="48" t="str">
        <x:v>dimension-revision:structure.family:v0.3</x:v>
      </x:c>
      <x:c r="V34" s="48" t="str">
        <x:v>concept-revision:structure.family.weft_knit:v0.3</x:v>
      </x:c>
      <x:c r="W34" s="48" t="str"/>
      <x:c r="X34" s="48" t="str">
        <x:v>lead_only_not_asserted</x:v>
      </x:c>
      <x:c r="Y34" s="48" t="str">
        <x:v>textile-sample:ops-tx-033</x:v>
      </x:c>
      <x:c r="Z34" s="48" t="str"/>
      <x:c r="AA34" s="48" t="str"/>
      <x:c r="AB34" s="48" t="str"/>
      <x:c r="AC34" s="48" t="str"/>
      <x:c r="AD34" s="48" t="str">
        <x:v>wave-1-polartec-cordura</x:v>
      </x:c>
    </x:row>
    <x:row r="35">
      <x:c r="A35" s="48" t="str">
        <x:v>OPS-TX-034</x:v>
      </x:c>
      <x:c r="B35" s="48" t="str">
        <x:v>CORDURA / INVISTA</x:v>
      </x:c>
      <x:c r="C35" s="48" t="str">
        <x:v>re/cor RN66</x:v>
      </x:c>
      <x:c r="D35" s="48" t="str">
        <x:v>tecido_plano</x:v>
      </x:c>
      <x:c r="E35" s="48" t="str">
        <x:v>tecido reciclado nylon 6,6</x:v>
      </x:c>
      <x:c r="F35" s="48" t="str">
        <x:v>Página técnica oficial e acesso a especificações/sales sheet via Fabric Finder</x:v>
      </x:c>
      <x:c r="G35" s="48" t="str">
        <x:v>https://cordura.com/find-your-match</x:v>
      </x:c>
      <x:c r="H35" s="48" t="str">
        <x:v>Alta</x:v>
      </x:c>
      <x:c r="I35" s="48" t="str">
        <x:v>Internacional</x:v>
      </x:c>
      <x:c r="J35" s="48" t="str">
        <x:v>Solicitar amostra ao fabricante/distribuidor</x:v>
      </x:c>
      <x:c r="K35" s="48" t="str">
        <x:v>A solicitar</x:v>
      </x:c>
      <x:c r="L35" s="48" t="str">
        <x:v>Referência localizada</x:v>
      </x:c>
      <x:c r="M35" s="48" t="str">
        <x:v>Candidata</x:v>
      </x:c>
      <x:c r="N35" s="48" t="str">
        <x:v>Operations</x:v>
      </x:c>
      <x:c r="O35" s="48" t="n">
        <x:v>1</x:v>
      </x:c>
      <x:c r="P35" s="48"/>
      <x:c r="Q35" s="48" t="str"/>
      <x:c r="R35" s="48" t="str"/>
      <x:c r="S35" s="48" t="str">
        <x:v>Não revisada</x:v>
      </x:c>
      <x:c r="T35" s="48" t="str">
        <x:v>Confirmar ficha técnica/ensaio e código exato antes da aceitação.</x:v>
      </x:c>
      <x:c r="U35" s="48" t="str">
        <x:v>dimension-revision:structure.family:v0.3</x:v>
      </x:c>
      <x:c r="V35" s="48" t="str">
        <x:v>concept-revision:structure.family.woven_fabric:v0.3</x:v>
      </x:c>
      <x:c r="W35" s="48" t="str"/>
      <x:c r="X35" s="48" t="str">
        <x:v>lead_only_not_asserted</x:v>
      </x:c>
      <x:c r="Y35" s="48" t="str">
        <x:v>textile-sample:ops-tx-034</x:v>
      </x:c>
      <x:c r="Z35" s="48" t="str"/>
      <x:c r="AA35" s="48" t="str"/>
      <x:c r="AB35" s="48" t="str"/>
      <x:c r="AC35" s="48" t="str"/>
      <x:c r="AD35" s="48" t="str">
        <x:v>wave-1-polartec-cordura</x:v>
      </x:c>
    </x:row>
    <x:row r="36">
      <x:c r="A36" s="48" t="str">
        <x:v>OPS-TX-035</x:v>
      </x:c>
      <x:c r="B36" s="48" t="str">
        <x:v>CORDURA / INVISTA</x:v>
      </x:c>
      <x:c r="C36" s="48" t="str">
        <x:v>UltraLite Fabric</x:v>
      </x:c>
      <x:c r="D36" s="48" t="str">
        <x:v>tecido_plano</x:v>
      </x:c>
      <x:c r="E36" s="48" t="str">
        <x:v>tecido plano ultraleve</x:v>
      </x:c>
      <x:c r="F36" s="48" t="str">
        <x:v>Página técnica oficial e acesso a especificações/sales sheet via Fabric Finder</x:v>
      </x:c>
      <x:c r="G36" s="48" t="str">
        <x:v>https://cordura.com/find-your-match</x:v>
      </x:c>
      <x:c r="H36" s="48" t="str">
        <x:v>Alta</x:v>
      </x:c>
      <x:c r="I36" s="48" t="str">
        <x:v>Internacional</x:v>
      </x:c>
      <x:c r="J36" s="48" t="str">
        <x:v>Solicitar amostra ao fabricante/distribuidor</x:v>
      </x:c>
      <x:c r="K36" s="48" t="str">
        <x:v>A solicitar</x:v>
      </x:c>
      <x:c r="L36" s="48" t="str">
        <x:v>Referência localizada</x:v>
      </x:c>
      <x:c r="M36" s="48" t="str">
        <x:v>Candidata</x:v>
      </x:c>
      <x:c r="N36" s="48" t="str">
        <x:v>Operations</x:v>
      </x:c>
      <x:c r="O36" s="48" t="n">
        <x:v>1</x:v>
      </x:c>
      <x:c r="P36" s="48"/>
      <x:c r="Q36" s="48" t="str"/>
      <x:c r="R36" s="48" t="str"/>
      <x:c r="S36" s="48" t="str">
        <x:v>Não revisada</x:v>
      </x:c>
      <x:c r="T36" s="48" t="str">
        <x:v>Confirmar ficha técnica/ensaio e código exato antes da aceitação.</x:v>
      </x:c>
      <x:c r="U36" s="48" t="str">
        <x:v>dimension-revision:structure.family:v0.3</x:v>
      </x:c>
      <x:c r="V36" s="48" t="str">
        <x:v>concept-revision:structure.family.woven_fabric:v0.3</x:v>
      </x:c>
      <x:c r="W36" s="48" t="str"/>
      <x:c r="X36" s="48" t="str">
        <x:v>lead_only_not_asserted</x:v>
      </x:c>
      <x:c r="Y36" s="48" t="str">
        <x:v>textile-sample:ops-tx-035</x:v>
      </x:c>
      <x:c r="Z36" s="48" t="str"/>
      <x:c r="AA36" s="48" t="str"/>
      <x:c r="AB36" s="48" t="str"/>
      <x:c r="AC36" s="48" t="str"/>
      <x:c r="AD36" s="48" t="str">
        <x:v>wave-1-polartec-cordura</x:v>
      </x:c>
    </x:row>
    <x:row r="37">
      <x:c r="A37" s="48" t="str">
        <x:v>OPS-TX-036</x:v>
      </x:c>
      <x:c r="B37" s="48" t="str">
        <x:v>Freudenberg Performance Materials</x:v>
      </x:c>
      <x:c r="C37" s="48" t="str">
        <x:v>Colback</x:v>
      </x:c>
      <x:c r="D37" s="48" t="str">
        <x:v>nao_tecido</x:v>
      </x:c>
      <x:c r="E37" s="48" t="str">
        <x:v>spunbond polimérico</x:v>
      </x:c>
      <x:c r="F37" s="48" t="str">
        <x:v>Página técnica oficial; detalhamento adicional sob consulta</x:v>
      </x:c>
      <x:c r="G37" s="48" t="str">
        <x:v>https://www.freudenberg-pm.com/en/brands/colback</x:v>
      </x:c>
      <x:c r="H37" s="48" t="str">
        <x:v>Média</x:v>
      </x:c>
      <x:c r="I37" s="48" t="str">
        <x:v>Internacional</x:v>
      </x:c>
      <x:c r="J37" s="48" t="str">
        <x:v>Solicitar amostra ao fabricante/distribuidor</x:v>
      </x:c>
      <x:c r="K37" s="48" t="str">
        <x:v>A solicitar</x:v>
      </x:c>
      <x:c r="L37" s="48" t="str">
        <x:v>Referência localizada</x:v>
      </x:c>
      <x:c r="M37" s="48" t="str">
        <x:v>Candidata</x:v>
      </x:c>
      <x:c r="N37" s="48" t="str">
        <x:v>Operations</x:v>
      </x:c>
      <x:c r="O37" s="48" t="n">
        <x:v>1</x:v>
      </x:c>
      <x:c r="P37" s="48"/>
      <x:c r="Q37" s="48" t="str"/>
      <x:c r="R37" s="48" t="str"/>
      <x:c r="S37" s="48" t="str">
        <x:v>Não revisada</x:v>
      </x:c>
      <x:c r="T37" s="48" t="str">
        <x:v>Confirmar ficha técnica/ensaio e código exato antes da aceitação.</x:v>
      </x:c>
      <x:c r="U37" s="48" t="str">
        <x:v>dimension-revision:structure.family:v0.3</x:v>
      </x:c>
      <x:c r="V37" s="48" t="str">
        <x:v>concept-revision:structure.family.nonwoven:v0.3</x:v>
      </x:c>
      <x:c r="W37" s="48" t="str">
        <x:v>concept-revision:nonwoven.extrusion.spunbond:v0.3</x:v>
      </x:c>
      <x:c r="X37" s="48" t="str">
        <x:v>lead_only_not_asserted</x:v>
      </x:c>
      <x:c r="Y37" s="48" t="str">
        <x:v>textile-sample:ops-tx-036</x:v>
      </x:c>
      <x:c r="Z37" s="48" t="str"/>
      <x:c r="AA37" s="48" t="str"/>
      <x:c r="AB37" s="48" t="str"/>
      <x:c r="AC37" s="48" t="str"/>
      <x:c r="AD37" s="48" t="str">
        <x:v>wave-1-ahlstrom-freudenberg</x:v>
      </x:c>
    </x:row>
    <x:row r="38">
      <x:c r="A38" s="48" t="str">
        <x:v>OPS-TX-037</x:v>
      </x:c>
      <x:c r="B38" s="48" t="str">
        <x:v>Freudenberg Performance Materials</x:v>
      </x:c>
      <x:c r="C38" s="48" t="str">
        <x:v>Evolon</x:v>
      </x:c>
      <x:c r="D38" s="48" t="str">
        <x:v>nao_tecido</x:v>
      </x:c>
      <x:c r="E38" s="48" t="str">
        <x:v>microfilamento hidroentrelaçado</x:v>
      </x:c>
      <x:c r="F38" s="48" t="str">
        <x:v>Página técnica oficial; detalhamento adicional sob consulta</x:v>
      </x:c>
      <x:c r="G38" s="48" t="str">
        <x:v>https://www.freudenberg-pm.com/en/brands/evolon</x:v>
      </x:c>
      <x:c r="H38" s="48" t="str">
        <x:v>Média</x:v>
      </x:c>
      <x:c r="I38" s="48" t="str">
        <x:v>Internacional</x:v>
      </x:c>
      <x:c r="J38" s="48" t="str">
        <x:v>Solicitar amostra ao fabricante/distribuidor</x:v>
      </x:c>
      <x:c r="K38" s="48" t="str">
        <x:v>A solicitar</x:v>
      </x:c>
      <x:c r="L38" s="48" t="str">
        <x:v>Referência localizada</x:v>
      </x:c>
      <x:c r="M38" s="48" t="str">
        <x:v>Candidata</x:v>
      </x:c>
      <x:c r="N38" s="48" t="str">
        <x:v>Operations</x:v>
      </x:c>
      <x:c r="O38" s="48" t="n">
        <x:v>1</x:v>
      </x:c>
      <x:c r="P38" s="48"/>
      <x:c r="Q38" s="48" t="str"/>
      <x:c r="R38" s="48" t="str"/>
      <x:c r="S38" s="48" t="str">
        <x:v>Não revisada</x:v>
      </x:c>
      <x:c r="T38" s="48" t="str">
        <x:v>Confirmar ficha técnica/ensaio e código exato antes da aceitação.</x:v>
      </x:c>
      <x:c r="U38" s="48" t="str">
        <x:v>dimension-revision:structure.family:v0.3</x:v>
      </x:c>
      <x:c r="V38" s="48" t="str">
        <x:v>concept-revision:structure.family.nonwoven:v0.3</x:v>
      </x:c>
      <x:c r="W38" s="48" t="str">
        <x:v>concept-revision:nonwoven.consolidation.hydroentangled:v0.3</x:v>
      </x:c>
      <x:c r="X38" s="48" t="str">
        <x:v>lead_only_not_asserted</x:v>
      </x:c>
      <x:c r="Y38" s="48" t="str">
        <x:v>textile-sample:ops-tx-037</x:v>
      </x:c>
      <x:c r="Z38" s="48" t="str"/>
      <x:c r="AA38" s="48" t="str"/>
      <x:c r="AB38" s="48" t="str"/>
      <x:c r="AC38" s="48" t="str"/>
      <x:c r="AD38" s="48" t="str">
        <x:v>wave-1-ahlstrom-freudenberg</x:v>
      </x:c>
    </x:row>
    <x:row r="39">
      <x:c r="A39" s="48" t="str">
        <x:v>OPS-TX-038</x:v>
      </x:c>
      <x:c r="B39" s="48" t="str">
        <x:v>Freudenberg Performance Materials</x:v>
      </x:c>
      <x:c r="C39" s="48" t="str">
        <x:v>Filc</x:v>
      </x:c>
      <x:c r="D39" s="48" t="str">
        <x:v>nao_tecido</x:v>
      </x:c>
      <x:c r="E39" s="48" t="str">
        <x:v>agulhado técnico</x:v>
      </x:c>
      <x:c r="F39" s="48" t="str">
        <x:v>Página técnica oficial; detalhamento adicional sob consulta</x:v>
      </x:c>
      <x:c r="G39" s="48" t="str">
        <x:v>https://www.freudenberg-pm.com/en/brands/filc</x:v>
      </x:c>
      <x:c r="H39" s="48" t="str">
        <x:v>Média</x:v>
      </x:c>
      <x:c r="I39" s="48" t="str">
        <x:v>Internacional</x:v>
      </x:c>
      <x:c r="J39" s="48" t="str">
        <x:v>Solicitar amostra ao fabricante/distribuidor</x:v>
      </x:c>
      <x:c r="K39" s="48" t="str">
        <x:v>A solicitar</x:v>
      </x:c>
      <x:c r="L39" s="48" t="str">
        <x:v>Referência localizada</x:v>
      </x:c>
      <x:c r="M39" s="48" t="str">
        <x:v>Candidata</x:v>
      </x:c>
      <x:c r="N39" s="48" t="str">
        <x:v>Operations</x:v>
      </x:c>
      <x:c r="O39" s="48" t="n">
        <x:v>1</x:v>
      </x:c>
      <x:c r="P39" s="48"/>
      <x:c r="Q39" s="48" t="str"/>
      <x:c r="R39" s="48" t="str"/>
      <x:c r="S39" s="48" t="str">
        <x:v>Não revisada</x:v>
      </x:c>
      <x:c r="T39" s="48" t="str">
        <x:v>Confirmar ficha técnica/ensaio e código exato antes da aceitação.</x:v>
      </x:c>
      <x:c r="U39" s="48" t="str">
        <x:v>dimension-revision:structure.family:v0.3</x:v>
      </x:c>
      <x:c r="V39" s="48" t="str">
        <x:v>concept-revision:structure.family.nonwoven:v0.3</x:v>
      </x:c>
      <x:c r="W39" s="48" t="str">
        <x:v>concept-revision:nonwoven.consolidation.needle_punched:v0.3</x:v>
      </x:c>
      <x:c r="X39" s="48" t="str">
        <x:v>lead_only_not_asserted</x:v>
      </x:c>
      <x:c r="Y39" s="48" t="str">
        <x:v>textile-sample:ops-tx-038</x:v>
      </x:c>
      <x:c r="Z39" s="48" t="str"/>
      <x:c r="AA39" s="48" t="str"/>
      <x:c r="AB39" s="48" t="str"/>
      <x:c r="AC39" s="48" t="str"/>
      <x:c r="AD39" s="48" t="str">
        <x:v>wave-1-ahlstrom-freudenberg</x:v>
      </x:c>
    </x:row>
    <x:row r="40">
      <x:c r="A40" s="48" t="str">
        <x:v>OPS-TX-039</x:v>
      </x:c>
      <x:c r="B40" s="48" t="str">
        <x:v>Freudenberg Performance Materials</x:v>
      </x:c>
      <x:c r="C40" s="48" t="str">
        <x:v>Lutradur</x:v>
      </x:c>
      <x:c r="D40" s="48" t="str">
        <x:v>nao_tecido</x:v>
      </x:c>
      <x:c r="E40" s="48" t="str">
        <x:v>spunbond poliéster</x:v>
      </x:c>
      <x:c r="F40" s="48" t="str">
        <x:v>Página técnica oficial; detalhamento adicional sob consulta</x:v>
      </x:c>
      <x:c r="G40" s="48" t="str">
        <x:v>https://www.freudenberg-pm.com/en/brands/lutradur</x:v>
      </x:c>
      <x:c r="H40" s="48" t="str">
        <x:v>Média</x:v>
      </x:c>
      <x:c r="I40" s="48" t="str">
        <x:v>Internacional</x:v>
      </x:c>
      <x:c r="J40" s="48" t="str">
        <x:v>Solicitar amostra ao fabricante/distribuidor</x:v>
      </x:c>
      <x:c r="K40" s="48" t="str">
        <x:v>A solicitar</x:v>
      </x:c>
      <x:c r="L40" s="48" t="str">
        <x:v>Referência localizada</x:v>
      </x:c>
      <x:c r="M40" s="48" t="str">
        <x:v>Candidata</x:v>
      </x:c>
      <x:c r="N40" s="48" t="str">
        <x:v>Operations</x:v>
      </x:c>
      <x:c r="O40" s="48" t="n">
        <x:v>1</x:v>
      </x:c>
      <x:c r="P40" s="48"/>
      <x:c r="Q40" s="48" t="str"/>
      <x:c r="R40" s="48" t="str"/>
      <x:c r="S40" s="48" t="str">
        <x:v>Não revisada</x:v>
      </x:c>
      <x:c r="T40" s="48" t="str">
        <x:v>Confirmar ficha técnica/ensaio e código exato antes da aceitação.</x:v>
      </x:c>
      <x:c r="U40" s="48" t="str">
        <x:v>dimension-revision:structure.family:v0.3</x:v>
      </x:c>
      <x:c r="V40" s="48" t="str">
        <x:v>concept-revision:structure.family.nonwoven:v0.3</x:v>
      </x:c>
      <x:c r="W40" s="48" t="str">
        <x:v>concept-revision:nonwoven.extrusion.spunbond:v0.3</x:v>
      </x:c>
      <x:c r="X40" s="48" t="str">
        <x:v>lead_only_not_asserted</x:v>
      </x:c>
      <x:c r="Y40" s="48" t="str">
        <x:v>textile-sample:ops-tx-039</x:v>
      </x:c>
      <x:c r="Z40" s="48" t="str"/>
      <x:c r="AA40" s="48" t="str"/>
      <x:c r="AB40" s="48" t="str"/>
      <x:c r="AC40" s="48" t="str"/>
      <x:c r="AD40" s="48" t="str">
        <x:v>wave-1-ahlstrom-freudenberg</x:v>
      </x:c>
    </x:row>
    <x:row r="41">
      <x:c r="A41" s="48" t="str">
        <x:v>OPS-TX-040</x:v>
      </x:c>
      <x:c r="B41" s="48" t="str">
        <x:v>Freudenberg Performance Materials</x:v>
      </x:c>
      <x:c r="C41" s="48" t="str">
        <x:v>Terbond</x:v>
      </x:c>
      <x:c r="D41" s="48" t="str">
        <x:v>nao_tecido</x:v>
      </x:c>
      <x:c r="E41" s="48" t="str">
        <x:v>não tecido poliéster</x:v>
      </x:c>
      <x:c r="F41" s="48" t="str">
        <x:v>Página técnica oficial; detalhamento adicional sob consulta</x:v>
      </x:c>
      <x:c r="G41" s="48" t="str">
        <x:v>https://www.freudenberg-pm.com/en/brands/terbond-texbond</x:v>
      </x:c>
      <x:c r="H41" s="48" t="str">
        <x:v>Média</x:v>
      </x:c>
      <x:c r="I41" s="48" t="str">
        <x:v>Internacional</x:v>
      </x:c>
      <x:c r="J41" s="48" t="str">
        <x:v>Solicitar amostra ao fabricante/distribuidor</x:v>
      </x:c>
      <x:c r="K41" s="48" t="str">
        <x:v>A solicitar</x:v>
      </x:c>
      <x:c r="L41" s="48" t="str">
        <x:v>Referência localizada</x:v>
      </x:c>
      <x:c r="M41" s="48" t="str">
        <x:v>Candidata</x:v>
      </x:c>
      <x:c r="N41" s="48" t="str">
        <x:v>Operations</x:v>
      </x:c>
      <x:c r="O41" s="48" t="n">
        <x:v>1</x:v>
      </x:c>
      <x:c r="P41" s="48"/>
      <x:c r="Q41" s="48" t="str"/>
      <x:c r="R41" s="48" t="str"/>
      <x:c r="S41" s="48" t="str">
        <x:v>Não revisada</x:v>
      </x:c>
      <x:c r="T41" s="48" t="str">
        <x:v>Confirmar ficha técnica/ensaio e código exato antes da aceitação.</x:v>
      </x:c>
      <x:c r="U41" s="48" t="str">
        <x:v>dimension-revision:structure.family:v0.3</x:v>
      </x:c>
      <x:c r="V41" s="48" t="str">
        <x:v>concept-revision:structure.family.nonwoven:v0.3</x:v>
      </x:c>
      <x:c r="W41" s="48" t="str"/>
      <x:c r="X41" s="48" t="str">
        <x:v>lead_only_not_asserted</x:v>
      </x:c>
      <x:c r="Y41" s="48" t="str">
        <x:v>textile-sample:ops-tx-040</x:v>
      </x:c>
      <x:c r="Z41" s="48" t="str"/>
      <x:c r="AA41" s="48" t="str"/>
      <x:c r="AB41" s="48" t="str"/>
      <x:c r="AC41" s="48" t="str"/>
      <x:c r="AD41" s="48" t="str">
        <x:v>wave-1-ahlstrom-freudenberg</x:v>
      </x:c>
    </x:row>
    <x:row r="42">
      <x:c r="A42" s="48" t="str">
        <x:v>OPS-TX-041</x:v>
      </x:c>
      <x:c r="B42" s="48" t="str">
        <x:v>Freudenberg Performance Materials</x:v>
      </x:c>
      <x:c r="C42" s="48" t="str">
        <x:v>Texbond</x:v>
      </x:c>
      <x:c r="D42" s="48" t="str">
        <x:v>nao_tecido</x:v>
      </x:c>
      <x:c r="E42" s="48" t="str">
        <x:v>não tecido poliéster reforçado</x:v>
      </x:c>
      <x:c r="F42" s="48" t="str">
        <x:v>Página técnica oficial; detalhamento adicional sob consulta</x:v>
      </x:c>
      <x:c r="G42" s="48" t="str">
        <x:v>https://www.freudenberg-pm.com/en/brands/terbond-texbond</x:v>
      </x:c>
      <x:c r="H42" s="48" t="str">
        <x:v>Média</x:v>
      </x:c>
      <x:c r="I42" s="48" t="str">
        <x:v>Internacional</x:v>
      </x:c>
      <x:c r="J42" s="48" t="str">
        <x:v>Solicitar amostra ao fabricante/distribuidor</x:v>
      </x:c>
      <x:c r="K42" s="48" t="str">
        <x:v>A solicitar</x:v>
      </x:c>
      <x:c r="L42" s="48" t="str">
        <x:v>Referência localizada</x:v>
      </x:c>
      <x:c r="M42" s="48" t="str">
        <x:v>Candidata</x:v>
      </x:c>
      <x:c r="N42" s="48" t="str">
        <x:v>Operations</x:v>
      </x:c>
      <x:c r="O42" s="48" t="n">
        <x:v>1</x:v>
      </x:c>
      <x:c r="P42" s="48"/>
      <x:c r="Q42" s="48" t="str"/>
      <x:c r="R42" s="48" t="str"/>
      <x:c r="S42" s="48" t="str">
        <x:v>Não revisada</x:v>
      </x:c>
      <x:c r="T42" s="48" t="str">
        <x:v>Confirmar ficha técnica/ensaio e código exato antes da aceitação.</x:v>
      </x:c>
      <x:c r="U42" s="48" t="str">
        <x:v>dimension-revision:structure.family:v0.3</x:v>
      </x:c>
      <x:c r="V42" s="48" t="str">
        <x:v>concept-revision:structure.family.nonwoven:v0.3</x:v>
      </x:c>
      <x:c r="W42" s="48" t="str"/>
      <x:c r="X42" s="48" t="str">
        <x:v>lead_only_not_asserted</x:v>
      </x:c>
      <x:c r="Y42" s="48" t="str">
        <x:v>textile-sample:ops-tx-041</x:v>
      </x:c>
      <x:c r="Z42" s="48" t="str"/>
      <x:c r="AA42" s="48" t="str"/>
      <x:c r="AB42" s="48" t="str"/>
      <x:c r="AC42" s="48" t="str"/>
      <x:c r="AD42" s="48" t="str">
        <x:v>wave-1-ahlstrom-freudenberg</x:v>
      </x:c>
    </x:row>
    <x:row r="43">
      <x:c r="A43" s="48" t="str">
        <x:v>OPS-TX-042</x:v>
      </x:c>
      <x:c r="B43" s="48" t="str">
        <x:v>Freudenberg Performance Materials</x:v>
      </x:c>
      <x:c r="C43" s="48" t="str">
        <x:v>comfortemp</x:v>
      </x:c>
      <x:c r="D43" s="48" t="str">
        <x:v>estrutura_composta</x:v>
      </x:c>
      <x:c r="E43" s="48" t="str">
        <x:v>isolamento/PCM em estrutura têxtil</x:v>
      </x:c>
      <x:c r="F43" s="48" t="str">
        <x:v>Página técnica oficial; detalhamento adicional sob consulta</x:v>
      </x:c>
      <x:c r="G43" s="48" t="str">
        <x:v>https://www.freudenberg-pm.com/en</x:v>
      </x:c>
      <x:c r="H43" s="48" t="str">
        <x:v>Média</x:v>
      </x:c>
      <x:c r="I43" s="48" t="str">
        <x:v>Internacional</x:v>
      </x:c>
      <x:c r="J43" s="48" t="str">
        <x:v>Solicitar amostra ao fabricante/distribuidor</x:v>
      </x:c>
      <x:c r="K43" s="48" t="str">
        <x:v>A solicitar</x:v>
      </x:c>
      <x:c r="L43" s="48" t="str">
        <x:v>Referência localizada</x:v>
      </x:c>
      <x:c r="M43" s="48" t="str">
        <x:v>Candidata</x:v>
      </x:c>
      <x:c r="N43" s="48" t="str">
        <x:v>Operations</x:v>
      </x:c>
      <x:c r="O43" s="48" t="n">
        <x:v>1</x:v>
      </x:c>
      <x:c r="P43" s="48"/>
      <x:c r="Q43" s="48" t="str"/>
      <x:c r="R43" s="48" t="str"/>
      <x:c r="S43" s="48" t="str">
        <x:v>Não revisada</x:v>
      </x:c>
      <x:c r="T43" s="48" t="str">
        <x:v>Confirmar ficha técnica/ensaio e código exato antes da aceitação.</x:v>
      </x:c>
      <x:c r="U43" s="48" t="str">
        <x:v>dimension-revision:structure.family:v0.3</x:v>
      </x:c>
      <x:c r="V43" s="48" t="str">
        <x:v>concept-revision:structure.family.composite_structure:v0.3</x:v>
      </x:c>
      <x:c r="W43" s="48" t="str"/>
      <x:c r="X43" s="48" t="str">
        <x:v>lead_only_not_asserted</x:v>
      </x:c>
      <x:c r="Y43" s="48" t="str">
        <x:v>textile-sample:ops-tx-042</x:v>
      </x:c>
      <x:c r="Z43" s="48" t="str"/>
      <x:c r="AA43" s="48" t="str"/>
      <x:c r="AB43" s="48" t="str"/>
      <x:c r="AC43" s="48" t="str"/>
      <x:c r="AD43" s="48" t="str">
        <x:v>wave-1-ahlstrom-freudenberg</x:v>
      </x:c>
    </x:row>
    <x:row r="44">
      <x:c r="A44" s="48" t="str">
        <x:v>OPS-TX-043</x:v>
      </x:c>
      <x:c r="B44" s="48" t="str">
        <x:v>Freudenberg Performance Materials</x:v>
      </x:c>
      <x:c r="C44" s="48" t="str">
        <x:v>Dripstop</x:v>
      </x:c>
      <x:c r="D44" s="48" t="str">
        <x:v>estrutura_composta</x:v>
      </x:c>
      <x:c r="E44" s="48" t="str">
        <x:v>não tecido funcional aplicado a cobertura</x:v>
      </x:c>
      <x:c r="F44" s="48" t="str">
        <x:v>Página técnica oficial; detalhamento adicional sob consulta</x:v>
      </x:c>
      <x:c r="G44" s="48" t="str">
        <x:v>https://www.freudenberg-pm.com/en</x:v>
      </x:c>
      <x:c r="H44" s="48" t="str">
        <x:v>Média</x:v>
      </x:c>
      <x:c r="I44" s="48" t="str">
        <x:v>Internacional</x:v>
      </x:c>
      <x:c r="J44" s="48" t="str">
        <x:v>Solicitar amostra ao fabricante/distribuidor</x:v>
      </x:c>
      <x:c r="K44" s="48" t="str">
        <x:v>A solicitar</x:v>
      </x:c>
      <x:c r="L44" s="48" t="str">
        <x:v>Referência localizada</x:v>
      </x:c>
      <x:c r="M44" s="48" t="str">
        <x:v>Candidata</x:v>
      </x:c>
      <x:c r="N44" s="48" t="str">
        <x:v>Operations</x:v>
      </x:c>
      <x:c r="O44" s="48" t="n">
        <x:v>1</x:v>
      </x:c>
      <x:c r="P44" s="48"/>
      <x:c r="Q44" s="48" t="str"/>
      <x:c r="R44" s="48" t="str"/>
      <x:c r="S44" s="48" t="str">
        <x:v>Não revisada</x:v>
      </x:c>
      <x:c r="T44" s="48" t="str">
        <x:v>Confirmar ficha técnica/ensaio e código exato antes da aceitação.</x:v>
      </x:c>
      <x:c r="U44" s="48" t="str">
        <x:v>dimension-revision:structure.family:v0.3</x:v>
      </x:c>
      <x:c r="V44" s="48" t="str">
        <x:v>concept-revision:structure.family.composite_structure:v0.3</x:v>
      </x:c>
      <x:c r="W44" s="48" t="str"/>
      <x:c r="X44" s="48" t="str">
        <x:v>lead_only_not_asserted</x:v>
      </x:c>
      <x:c r="Y44" s="48" t="str">
        <x:v>textile-sample:ops-tx-043</x:v>
      </x:c>
      <x:c r="Z44" s="48" t="str"/>
      <x:c r="AA44" s="48" t="str"/>
      <x:c r="AB44" s="48" t="str"/>
      <x:c r="AC44" s="48" t="str"/>
      <x:c r="AD44" s="48" t="str">
        <x:v>wave-1-ahlstrom-freudenberg</x:v>
      </x:c>
    </x:row>
    <x:row r="45">
      <x:c r="A45" s="48" t="str">
        <x:v>OPS-TX-044</x:v>
      </x:c>
      <x:c r="B45" s="48" t="str">
        <x:v>Freudenberg Performance Materials</x:v>
      </x:c>
      <x:c r="C45" s="48" t="str">
        <x:v>MehlerHeytex</x:v>
      </x:c>
      <x:c r="D45" s="48" t="str">
        <x:v>estrutura_composta</x:v>
      </x:c>
      <x:c r="E45" s="48" t="str">
        <x:v>têxtil técnico revestido</x:v>
      </x:c>
      <x:c r="F45" s="48" t="str">
        <x:v>Página técnica oficial; detalhamento adicional sob consulta</x:v>
      </x:c>
      <x:c r="G45" s="48" t="str">
        <x:v>https://www.freudenberg-pm.com/en</x:v>
      </x:c>
      <x:c r="H45" s="48" t="str">
        <x:v>Média</x:v>
      </x:c>
      <x:c r="I45" s="48" t="str">
        <x:v>Internacional</x:v>
      </x:c>
      <x:c r="J45" s="48" t="str">
        <x:v>Solicitar amostra ao fabricante/distribuidor</x:v>
      </x:c>
      <x:c r="K45" s="48" t="str">
        <x:v>A solicitar</x:v>
      </x:c>
      <x:c r="L45" s="48" t="str">
        <x:v>Referência localizada</x:v>
      </x:c>
      <x:c r="M45" s="48" t="str">
        <x:v>Candidata</x:v>
      </x:c>
      <x:c r="N45" s="48" t="str">
        <x:v>Operations</x:v>
      </x:c>
      <x:c r="O45" s="48" t="n">
        <x:v>1</x:v>
      </x:c>
      <x:c r="P45" s="48"/>
      <x:c r="Q45" s="48" t="str"/>
      <x:c r="R45" s="48" t="str"/>
      <x:c r="S45" s="48" t="str">
        <x:v>Não revisada</x:v>
      </x:c>
      <x:c r="T45" s="48" t="str">
        <x:v>Confirmar ficha técnica/ensaio e código exato antes da aceitação.</x:v>
      </x:c>
      <x:c r="U45" s="48" t="str">
        <x:v>dimension-revision:structure.family:v0.3</x:v>
      </x:c>
      <x:c r="V45" s="48" t="str">
        <x:v>concept-revision:structure.family.composite_structure:v0.3</x:v>
      </x:c>
      <x:c r="W45" s="48" t="str">
        <x:v>concept-revision:composite.type.coated_structural:v0.3</x:v>
      </x:c>
      <x:c r="X45" s="48" t="str">
        <x:v>lead_only_not_asserted</x:v>
      </x:c>
      <x:c r="Y45" s="48" t="str">
        <x:v>textile-sample:ops-tx-044</x:v>
      </x:c>
      <x:c r="Z45" s="48" t="str"/>
      <x:c r="AA45" s="48" t="str"/>
      <x:c r="AB45" s="48" t="str"/>
      <x:c r="AC45" s="48" t="str"/>
      <x:c r="AD45" s="48" t="str">
        <x:v>wave-1-ahlstrom-freudenberg</x:v>
      </x:c>
    </x:row>
    <x:row r="46">
      <x:c r="A46" s="48" t="str">
        <x:v>OPS-TX-045</x:v>
      </x:c>
      <x:c r="B46" s="48" t="str">
        <x:v>Freudenberg Performance Materials</x:v>
      </x:c>
      <x:c r="C46" s="48" t="str">
        <x:v>Vlieseline</x:v>
      </x:c>
      <x:c r="D46" s="48" t="str">
        <x:v>nao_tecido</x:v>
      </x:c>
      <x:c r="E46" s="48" t="str">
        <x:v>entretela não tecida</x:v>
      </x:c>
      <x:c r="F46" s="48" t="str">
        <x:v>Página técnica oficial; detalhamento adicional sob consulta</x:v>
      </x:c>
      <x:c r="G46" s="48" t="str">
        <x:v>https://www.freudenberg-pm.com/en</x:v>
      </x:c>
      <x:c r="H46" s="48" t="str">
        <x:v>Média</x:v>
      </x:c>
      <x:c r="I46" s="48" t="str">
        <x:v>Internacional</x:v>
      </x:c>
      <x:c r="J46" s="48" t="str">
        <x:v>Solicitar amostra ao fabricante/distribuidor</x:v>
      </x:c>
      <x:c r="K46" s="48" t="str">
        <x:v>A solicitar</x:v>
      </x:c>
      <x:c r="L46" s="48" t="str">
        <x:v>Referência localizada</x:v>
      </x:c>
      <x:c r="M46" s="48" t="str">
        <x:v>Candidata</x:v>
      </x:c>
      <x:c r="N46" s="48" t="str">
        <x:v>Operations</x:v>
      </x:c>
      <x:c r="O46" s="48" t="n">
        <x:v>1</x:v>
      </x:c>
      <x:c r="P46" s="48"/>
      <x:c r="Q46" s="48" t="str"/>
      <x:c r="R46" s="48" t="str"/>
      <x:c r="S46" s="48" t="str">
        <x:v>Não revisada</x:v>
      </x:c>
      <x:c r="T46" s="48" t="str">
        <x:v>Confirmar ficha técnica/ensaio e código exato antes da aceitação.</x:v>
      </x:c>
      <x:c r="U46" s="48" t="str">
        <x:v>dimension-revision:structure.family:v0.3</x:v>
      </x:c>
      <x:c r="V46" s="48" t="str">
        <x:v>concept-revision:structure.family.nonwoven:v0.3</x:v>
      </x:c>
      <x:c r="W46" s="48" t="str"/>
      <x:c r="X46" s="48" t="str">
        <x:v>lead_only_not_asserted</x:v>
      </x:c>
      <x:c r="Y46" s="48" t="str">
        <x:v>textile-sample:ops-tx-045</x:v>
      </x:c>
      <x:c r="Z46" s="48" t="str"/>
      <x:c r="AA46" s="48" t="str"/>
      <x:c r="AB46" s="48" t="str"/>
      <x:c r="AC46" s="48" t="str"/>
      <x:c r="AD46" s="48" t="str">
        <x:v>wave-1-ahlstrom-freudenberg</x:v>
      </x:c>
    </x:row>
    <x:row r="47">
      <x:c r="A47" s="48" t="str">
        <x:v>OPS-TX-046</x:v>
      </x:c>
      <x:c r="B47" s="48" t="str">
        <x:v>Ahlstrom</x:v>
      </x:c>
      <x:c r="C47" s="48" t="str">
        <x:v>Reliance Wetlaid</x:v>
      </x:c>
      <x:c r="D47" s="48" t="str">
        <x:v>nao_tecido</x:v>
      </x:c>
      <x:c r="E47" s="48" t="str">
        <x:v>wetlaid celulose/PET/binder</x:v>
      </x:c>
      <x:c r="F47" s="48" t="str">
        <x:v>Página técnica oficial</x:v>
      </x:c>
      <x:c r="G47" s="48" t="str">
        <x:v>https://www.ahlstrom.com/products/medical-life-sciences-and-laboratory/sterilization-wraps2/reliance-wetlaid-nonwoven/</x:v>
      </x:c>
      <x:c r="H47" s="48" t="str">
        <x:v>Alta</x:v>
      </x:c>
      <x:c r="I47" s="48" t="str">
        <x:v>Internacional</x:v>
      </x:c>
      <x:c r="J47" s="48" t="str">
        <x:v>Solicitar amostra ao fabricante/distribuidor</x:v>
      </x:c>
      <x:c r="K47" s="48" t="str">
        <x:v>A solicitar</x:v>
      </x:c>
      <x:c r="L47" s="48" t="str">
        <x:v>Referência localizada</x:v>
      </x:c>
      <x:c r="M47" s="48" t="str">
        <x:v>Candidata</x:v>
      </x:c>
      <x:c r="N47" s="48" t="str">
        <x:v>Operations</x:v>
      </x:c>
      <x:c r="O47" s="48" t="n">
        <x:v>1</x:v>
      </x:c>
      <x:c r="P47" s="48"/>
      <x:c r="Q47" s="48" t="str"/>
      <x:c r="R47" s="48" t="str"/>
      <x:c r="S47" s="48" t="str">
        <x:v>Não revisada</x:v>
      </x:c>
      <x:c r="T47" s="48" t="str">
        <x:v>Confirmar ficha técnica/ensaio e código exato antes da aceitação.</x:v>
      </x:c>
      <x:c r="U47" s="48" t="str">
        <x:v>dimension-revision:structure.family:v0.3</x:v>
      </x:c>
      <x:c r="V47" s="48" t="str">
        <x:v>concept-revision:structure.family.nonwoven:v0.3</x:v>
      </x:c>
      <x:c r="W47" s="48" t="str">
        <x:v>concept-revision:nonwoven.web_formation.wetlaid:v0.3</x:v>
      </x:c>
      <x:c r="X47" s="48" t="str">
        <x:v>lead_only_not_asserted</x:v>
      </x:c>
      <x:c r="Y47" s="48" t="str">
        <x:v>textile-sample:ops-tx-046</x:v>
      </x:c>
      <x:c r="Z47" s="48" t="str"/>
      <x:c r="AA47" s="48" t="str"/>
      <x:c r="AB47" s="48" t="str"/>
      <x:c r="AC47" s="48" t="str"/>
      <x:c r="AD47" s="48" t="str">
        <x:v>wave-1-ahlstrom-freudenberg</x:v>
      </x:c>
    </x:row>
    <x:row r="48">
      <x:c r="A48" s="48" t="str">
        <x:v>OPS-TX-047</x:v>
      </x:c>
      <x:c r="B48" s="48" t="str">
        <x:v>Ahlstrom</x:v>
      </x:c>
      <x:c r="C48" s="48" t="str">
        <x:v>Reliance Detex</x:v>
      </x:c>
      <x:c r="D48" s="48" t="str">
        <x:v>nao_tecido</x:v>
      </x:c>
      <x:c r="E48" s="48" t="str">
        <x:v>wetlaid celulose/binder/PET</x:v>
      </x:c>
      <x:c r="F48" s="48" t="str">
        <x:v>Página técnica oficial</x:v>
      </x:c>
      <x:c r="G48" s="48" t="str">
        <x:v>https://www.ahlstrom.com/Media/articles/ahlstrom-munksjo-reliance-sms-and-dextex-wetlaid-nonwoven-receive-validation-from-the-french-government/</x:v>
      </x:c>
      <x:c r="H48" s="48" t="str">
        <x:v>Alta</x:v>
      </x:c>
      <x:c r="I48" s="48" t="str">
        <x:v>Internacional</x:v>
      </x:c>
      <x:c r="J48" s="48" t="str">
        <x:v>Solicitar amostra ao fabricante/distribuidor</x:v>
      </x:c>
      <x:c r="K48" s="48" t="str">
        <x:v>A solicitar</x:v>
      </x:c>
      <x:c r="L48" s="48" t="str">
        <x:v>Referência localizada</x:v>
      </x:c>
      <x:c r="M48" s="48" t="str">
        <x:v>Candidata</x:v>
      </x:c>
      <x:c r="N48" s="48" t="str">
        <x:v>Operations</x:v>
      </x:c>
      <x:c r="O48" s="48" t="n">
        <x:v>1</x:v>
      </x:c>
      <x:c r="P48" s="48"/>
      <x:c r="Q48" s="48" t="str"/>
      <x:c r="R48" s="48" t="str"/>
      <x:c r="S48" s="48" t="str">
        <x:v>Não revisada</x:v>
      </x:c>
      <x:c r="T48" s="48" t="str">
        <x:v>Confirmar ficha técnica/ensaio e código exato antes da aceitação.</x:v>
      </x:c>
      <x:c r="U48" s="48" t="str">
        <x:v>dimension-revision:structure.family:v0.3</x:v>
      </x:c>
      <x:c r="V48" s="48" t="str">
        <x:v>concept-revision:structure.family.nonwoven:v0.3</x:v>
      </x:c>
      <x:c r="W48" s="48" t="str">
        <x:v>concept-revision:nonwoven.web_formation.wetlaid:v0.3</x:v>
      </x:c>
      <x:c r="X48" s="48" t="str">
        <x:v>lead_only_not_asserted</x:v>
      </x:c>
      <x:c r="Y48" s="48" t="str">
        <x:v>textile-sample:ops-tx-047</x:v>
      </x:c>
      <x:c r="Z48" s="48" t="str"/>
      <x:c r="AA48" s="48" t="str"/>
      <x:c r="AB48" s="48" t="str"/>
      <x:c r="AC48" s="48" t="str"/>
      <x:c r="AD48" s="48" t="str">
        <x:v>wave-1-ahlstrom-freudenberg</x:v>
      </x:c>
    </x:row>
    <x:row r="49">
      <x:c r="A49" s="48" t="str">
        <x:v>OPS-TX-048</x:v>
      </x:c>
      <x:c r="B49" s="48" t="str">
        <x:v>Ahlstrom</x:v>
      </x:c>
      <x:c r="C49" s="48" t="str">
        <x:v>PureArmor Tri-laminate</x:v>
      </x:c>
      <x:c r="D49" s="48" t="str">
        <x:v>estrutura_composta</x:v>
      </x:c>
      <x:c r="E49" s="48" t="str">
        <x:v>trilaminado não tecido</x:v>
      </x:c>
      <x:c r="F49" s="48" t="str">
        <x:v>Página técnica oficial</x:v>
      </x:c>
      <x:c r="G49" s="48" t="str">
        <x:v>https://www.ahlstrom.com/Media/releases/press-releases2/2017/ahlstrom-munksjo-purearmor-breathable-impervious-nonwoven-fabric-combines-superior-protection-with-great-comfort2/</x:v>
      </x:c>
      <x:c r="H49" s="48" t="str">
        <x:v>Alta</x:v>
      </x:c>
      <x:c r="I49" s="48" t="str">
        <x:v>Internacional</x:v>
      </x:c>
      <x:c r="J49" s="48" t="str">
        <x:v>Solicitar amostra ao fabricante/distribuidor</x:v>
      </x:c>
      <x:c r="K49" s="48" t="str">
        <x:v>A solicitar</x:v>
      </x:c>
      <x:c r="L49" s="48" t="str">
        <x:v>Referência localizada</x:v>
      </x:c>
      <x:c r="M49" s="48" t="str">
        <x:v>Candidata</x:v>
      </x:c>
      <x:c r="N49" s="48" t="str">
        <x:v>Operations</x:v>
      </x:c>
      <x:c r="O49" s="48" t="n">
        <x:v>1</x:v>
      </x:c>
      <x:c r="P49" s="48"/>
      <x:c r="Q49" s="48" t="str"/>
      <x:c r="R49" s="48" t="str"/>
      <x:c r="S49" s="48" t="str">
        <x:v>Não revisada</x:v>
      </x:c>
      <x:c r="T49" s="48" t="str">
        <x:v>Confirmar ficha técnica/ensaio e código exato antes da aceitação.</x:v>
      </x:c>
      <x:c r="U49" s="48" t="str">
        <x:v>dimension-revision:structure.family:v0.3</x:v>
      </x:c>
      <x:c r="V49" s="48" t="str">
        <x:v>concept-revision:structure.family.composite_structure:v0.3</x:v>
      </x:c>
      <x:c r="W49" s="48" t="str">
        <x:v>concept-revision:composite.type.laminated:v0.3</x:v>
      </x:c>
      <x:c r="X49" s="48" t="str">
        <x:v>lead_only_not_asserted</x:v>
      </x:c>
      <x:c r="Y49" s="48" t="str">
        <x:v>textile-sample:ops-tx-048</x:v>
      </x:c>
      <x:c r="Z49" s="48" t="str"/>
      <x:c r="AA49" s="48" t="str"/>
      <x:c r="AB49" s="48" t="str"/>
      <x:c r="AC49" s="48" t="str"/>
      <x:c r="AD49" s="48" t="str">
        <x:v>wave-1-ahlstrom-freudenberg</x:v>
      </x:c>
    </x:row>
    <x:row r="50">
      <x:c r="A50" s="48" t="str">
        <x:v>OPS-TX-049</x:v>
      </x:c>
      <x:c r="B50" s="48" t="str">
        <x:v>Ahlstrom</x:v>
      </x:c>
      <x:c r="C50" s="48" t="str">
        <x:v>Wallstar Satin 180</x:v>
      </x:c>
      <x:c r="D50" s="48" t="str">
        <x:v>nao_tecido</x:v>
      </x:c>
      <x:c r="E50" s="48" t="str">
        <x:v>não tecido para impressão 180 g/m²</x:v>
      </x:c>
      <x:c r="F50" s="48" t="str">
        <x:v>TDS público em PDF</x:v>
      </x:c>
      <x:c r="G50" s="48" t="str">
        <x:v>https://www.ahlstrom.com/globalassets/products/construction-and-furniture-materials/wallcover-and-wall-liner/wallstar-digital-tds---final-brochure-2020.pdf</x:v>
      </x:c>
      <x:c r="H50" s="48" t="str">
        <x:v>Alta</x:v>
      </x:c>
      <x:c r="I50" s="48" t="str">
        <x:v>Internacional</x:v>
      </x:c>
      <x:c r="J50" s="48" t="str">
        <x:v>Solicitar amostra ao fabricante/distribuidor</x:v>
      </x:c>
      <x:c r="K50" s="48" t="str">
        <x:v>A solicitar</x:v>
      </x:c>
      <x:c r="L50" s="48" t="str">
        <x:v>Referência localizada</x:v>
      </x:c>
      <x:c r="M50" s="48" t="str">
        <x:v>Candidata</x:v>
      </x:c>
      <x:c r="N50" s="48" t="str">
        <x:v>Operations</x:v>
      </x:c>
      <x:c r="O50" s="48" t="n">
        <x:v>1</x:v>
      </x:c>
      <x:c r="P50" s="48"/>
      <x:c r="Q50" s="48" t="str"/>
      <x:c r="R50" s="48" t="str"/>
      <x:c r="S50" s="48" t="str">
        <x:v>Não revisada</x:v>
      </x:c>
      <x:c r="T50" s="48" t="str">
        <x:v>Confirmar ficha técnica/ensaio e código exato antes da aceitação.</x:v>
      </x:c>
      <x:c r="U50" s="48" t="str">
        <x:v>dimension-revision:structure.family:v0.3</x:v>
      </x:c>
      <x:c r="V50" s="48" t="str">
        <x:v>concept-revision:structure.family.nonwoven:v0.3</x:v>
      </x:c>
      <x:c r="W50" s="48" t="str"/>
      <x:c r="X50" s="48" t="str">
        <x:v>lead_only_not_asserted</x:v>
      </x:c>
      <x:c r="Y50" s="48" t="str">
        <x:v>textile-sample:ops-tx-049</x:v>
      </x:c>
      <x:c r="Z50" s="48" t="str"/>
      <x:c r="AA50" s="48" t="str"/>
      <x:c r="AB50" s="48" t="str"/>
      <x:c r="AC50" s="48" t="str"/>
      <x:c r="AD50" s="48" t="str">
        <x:v>wave-1-ahlstrom-freudenberg</x:v>
      </x:c>
    </x:row>
    <x:row r="51">
      <x:c r="A51" s="48" t="str">
        <x:v>OPS-TX-050</x:v>
      </x:c>
      <x:c r="B51" s="48" t="str">
        <x:v>Ahlstrom</x:v>
      </x:c>
      <x:c r="C51" s="48" t="str">
        <x:v>Wallstar Matte 147</x:v>
      </x:c>
      <x:c r="D51" s="48" t="str">
        <x:v>nao_tecido</x:v>
      </x:c>
      <x:c r="E51" s="48" t="str">
        <x:v>não tecido para impressão 147 g/m²</x:v>
      </x:c>
      <x:c r="F51" s="48" t="str">
        <x:v>TDS público em PDF</x:v>
      </x:c>
      <x:c r="G51" s="48" t="str">
        <x:v>https://www.ahlstrom.com/globalassets/products/construction-and-furniture-materials/wallcover-and-wall-liner/wallstar-digital-tds---final-brochure-2020.pdf</x:v>
      </x:c>
      <x:c r="H51" s="48" t="str">
        <x:v>Alta</x:v>
      </x:c>
      <x:c r="I51" s="48" t="str">
        <x:v>Internacional</x:v>
      </x:c>
      <x:c r="J51" s="48" t="str">
        <x:v>Solicitar amostra ao fabricante/distribuidor</x:v>
      </x:c>
      <x:c r="K51" s="48" t="str">
        <x:v>A solicitar</x:v>
      </x:c>
      <x:c r="L51" s="48" t="str">
        <x:v>Referência localizada</x:v>
      </x:c>
      <x:c r="M51" s="48" t="str">
        <x:v>Candidata</x:v>
      </x:c>
      <x:c r="N51" s="48" t="str">
        <x:v>Operations</x:v>
      </x:c>
      <x:c r="O51" s="48" t="n">
        <x:v>1</x:v>
      </x:c>
      <x:c r="P51" s="48"/>
      <x:c r="Q51" s="48" t="str"/>
      <x:c r="R51" s="48" t="str"/>
      <x:c r="S51" s="48" t="str">
        <x:v>Não revisada</x:v>
      </x:c>
      <x:c r="T51" s="48" t="str">
        <x:v>Confirmar ficha técnica/ensaio e código exato antes da aceitação.</x:v>
      </x:c>
      <x:c r="U51" s="48" t="str">
        <x:v>dimension-revision:structure.family:v0.3</x:v>
      </x:c>
      <x:c r="V51" s="48" t="str">
        <x:v>concept-revision:structure.family.nonwoven:v0.3</x:v>
      </x:c>
      <x:c r="W51" s="48" t="str"/>
      <x:c r="X51" s="48" t="str">
        <x:v>lead_only_not_asserted</x:v>
      </x:c>
      <x:c r="Y51" s="48" t="str">
        <x:v>textile-sample:ops-tx-050</x:v>
      </x:c>
      <x:c r="Z51" s="48" t="str"/>
      <x:c r="AA51" s="48" t="str"/>
      <x:c r="AB51" s="48" t="str"/>
      <x:c r="AC51" s="48" t="str"/>
      <x:c r="AD51" s="48" t="str">
        <x:v>wave-1-ahlstrom-freudenberg</x:v>
      </x:c>
    </x:row>
    <x:row r="52">
      <x:c r="A52" s="48" t="str">
        <x:v>OPS-TX-051</x:v>
      </x:c>
      <x:c r="B52" s="48" t="str">
        <x:v>Ahlstrom</x:v>
      </x:c>
      <x:c r="C52" s="48" t="str">
        <x:v>Wallstar Fibrous 147</x:v>
      </x:c>
      <x:c r="D52" s="48" t="str">
        <x:v>nao_tecido</x:v>
      </x:c>
      <x:c r="E52" s="48" t="str">
        <x:v>não tecido fibroso 147 g/m²</x:v>
      </x:c>
      <x:c r="F52" s="48" t="str">
        <x:v>TDS público em PDF</x:v>
      </x:c>
      <x:c r="G52" s="48" t="str">
        <x:v>https://www.ahlstrom.com/globalassets/products/construction-and-furniture-materials/wallcover-and-wall-liner/wallstar-digital-tds---final-brochure-2020.pdf</x:v>
      </x:c>
      <x:c r="H52" s="48" t="str">
        <x:v>Alta</x:v>
      </x:c>
      <x:c r="I52" s="48" t="str">
        <x:v>Internacional</x:v>
      </x:c>
      <x:c r="J52" s="48" t="str">
        <x:v>Solicitar amostra ao fabricante/distribuidor</x:v>
      </x:c>
      <x:c r="K52" s="48" t="str">
        <x:v>A solicitar</x:v>
      </x:c>
      <x:c r="L52" s="48" t="str">
        <x:v>Referência localizada</x:v>
      </x:c>
      <x:c r="M52" s="48" t="str">
        <x:v>Candidata</x:v>
      </x:c>
      <x:c r="N52" s="48" t="str">
        <x:v>Operations</x:v>
      </x:c>
      <x:c r="O52" s="48" t="n">
        <x:v>1</x:v>
      </x:c>
      <x:c r="P52" s="48"/>
      <x:c r="Q52" s="48" t="str"/>
      <x:c r="R52" s="48" t="str"/>
      <x:c r="S52" s="48" t="str">
        <x:v>Não revisada</x:v>
      </x:c>
      <x:c r="T52" s="48" t="str">
        <x:v>Confirmar ficha técnica/ensaio e código exato antes da aceitação.</x:v>
      </x:c>
      <x:c r="U52" s="48" t="str">
        <x:v>dimension-revision:structure.family:v0.3</x:v>
      </x:c>
      <x:c r="V52" s="48" t="str">
        <x:v>concept-revision:structure.family.nonwoven:v0.3</x:v>
      </x:c>
      <x:c r="W52" s="48" t="str"/>
      <x:c r="X52" s="48" t="str">
        <x:v>lead_only_not_asserted</x:v>
      </x:c>
      <x:c r="Y52" s="48" t="str">
        <x:v>textile-sample:ops-tx-051</x:v>
      </x:c>
      <x:c r="Z52" s="48" t="str"/>
      <x:c r="AA52" s="48" t="str"/>
      <x:c r="AB52" s="48" t="str"/>
      <x:c r="AC52" s="48" t="str"/>
      <x:c r="AD52" s="48" t="str">
        <x:v>wave-1-ahlstrom-freudenberg</x:v>
      </x:c>
    </x:row>
    <x:row r="53">
      <x:c r="A53" s="48" t="str">
        <x:v>OPS-TX-052</x:v>
      </x:c>
      <x:c r="B53" s="48" t="str">
        <x:v>Ahlstrom</x:v>
      </x:c>
      <x:c r="C53" s="48" t="str">
        <x:v>Medical Barrier Fabric</x:v>
      </x:c>
      <x:c r="D53" s="48" t="str">
        <x:v>nao_tecido</x:v>
      </x:c>
      <x:c r="E53" s="48" t="str">
        <x:v>substrato de barreira médica</x:v>
      </x:c>
      <x:c r="F53" s="48" t="str">
        <x:v>Página técnica oficial</x:v>
      </x:c>
      <x:c r="G53" s="48" t="str">
        <x:v>https://www.ahlstrom.com/products/medical-life-sciences-and-laboratory/</x:v>
      </x:c>
      <x:c r="H53" s="48" t="str">
        <x:v>Alta</x:v>
      </x:c>
      <x:c r="I53" s="48" t="str">
        <x:v>Internacional</x:v>
      </x:c>
      <x:c r="J53" s="48" t="str">
        <x:v>Solicitar amostra ao fabricante/distribuidor</x:v>
      </x:c>
      <x:c r="K53" s="48" t="str">
        <x:v>A solicitar</x:v>
      </x:c>
      <x:c r="L53" s="48" t="str">
        <x:v>Referência localizada</x:v>
      </x:c>
      <x:c r="M53" s="48" t="str">
        <x:v>Candidata</x:v>
      </x:c>
      <x:c r="N53" s="48" t="str">
        <x:v>Operations</x:v>
      </x:c>
      <x:c r="O53" s="48" t="n">
        <x:v>1</x:v>
      </x:c>
      <x:c r="P53" s="48"/>
      <x:c r="Q53" s="48" t="str"/>
      <x:c r="R53" s="48" t="str"/>
      <x:c r="S53" s="48" t="str">
        <x:v>Não revisada</x:v>
      </x:c>
      <x:c r="T53" s="48" t="str">
        <x:v>Confirmar ficha técnica/ensaio e código exato antes da aceitação.</x:v>
      </x:c>
      <x:c r="U53" s="48" t="str">
        <x:v>dimension-revision:structure.family:v0.3</x:v>
      </x:c>
      <x:c r="V53" s="48" t="str">
        <x:v>concept-revision:structure.family.nonwoven:v0.3</x:v>
      </x:c>
      <x:c r="W53" s="48" t="str"/>
      <x:c r="X53" s="48" t="str">
        <x:v>lead_only_not_asserted</x:v>
      </x:c>
      <x:c r="Y53" s="48" t="str">
        <x:v>textile-sample:ops-tx-052</x:v>
      </x:c>
      <x:c r="Z53" s="48" t="str"/>
      <x:c r="AA53" s="48" t="str"/>
      <x:c r="AB53" s="48" t="str"/>
      <x:c r="AC53" s="48" t="str"/>
      <x:c r="AD53" s="48" t="str">
        <x:v>wave-1-ahlstrom-freudenberg</x:v>
      </x:c>
    </x:row>
    <x:row r="54">
      <x:c r="A54" s="48" t="str">
        <x:v>OPS-TX-053</x:v>
      </x:c>
      <x:c r="B54" s="48" t="str">
        <x:v>Ahlstrom</x:v>
      </x:c>
      <x:c r="C54" s="48" t="str">
        <x:v>Sterilization Wrap</x:v>
      </x:c>
      <x:c r="D54" s="48" t="str">
        <x:v>nao_tecido</x:v>
      </x:c>
      <x:c r="E54" s="48" t="str">
        <x:v>não tecido para barreira estéril</x:v>
      </x:c>
      <x:c r="F54" s="48" t="str">
        <x:v>Página técnica oficial</x:v>
      </x:c>
      <x:c r="G54" s="48" t="str">
        <x:v>https://www.ahlstrom.com/products/medical-life-sciences-and-laboratory/</x:v>
      </x:c>
      <x:c r="H54" s="48" t="str">
        <x:v>Alta</x:v>
      </x:c>
      <x:c r="I54" s="48" t="str">
        <x:v>Internacional</x:v>
      </x:c>
      <x:c r="J54" s="48" t="str">
        <x:v>Solicitar amostra ao fabricante/distribuidor</x:v>
      </x:c>
      <x:c r="K54" s="48" t="str">
        <x:v>A solicitar</x:v>
      </x:c>
      <x:c r="L54" s="48" t="str">
        <x:v>Referência localizada</x:v>
      </x:c>
      <x:c r="M54" s="48" t="str">
        <x:v>Candidata</x:v>
      </x:c>
      <x:c r="N54" s="48" t="str">
        <x:v>Operations</x:v>
      </x:c>
      <x:c r="O54" s="48" t="n">
        <x:v>1</x:v>
      </x:c>
      <x:c r="P54" s="48"/>
      <x:c r="Q54" s="48" t="str"/>
      <x:c r="R54" s="48" t="str"/>
      <x:c r="S54" s="48" t="str">
        <x:v>Não revisada</x:v>
      </x:c>
      <x:c r="T54" s="48" t="str">
        <x:v>Confirmar ficha técnica/ensaio e código exato antes da aceitação.</x:v>
      </x:c>
      <x:c r="U54" s="48" t="str">
        <x:v>dimension-revision:structure.family:v0.3</x:v>
      </x:c>
      <x:c r="V54" s="48" t="str">
        <x:v>concept-revision:structure.family.nonwoven:v0.3</x:v>
      </x:c>
      <x:c r="W54" s="48" t="str"/>
      <x:c r="X54" s="48" t="str">
        <x:v>lead_only_not_asserted</x:v>
      </x:c>
      <x:c r="Y54" s="48" t="str">
        <x:v>textile-sample:ops-tx-053</x:v>
      </x:c>
      <x:c r="Z54" s="48" t="str"/>
      <x:c r="AA54" s="48" t="str"/>
      <x:c r="AB54" s="48" t="str"/>
      <x:c r="AC54" s="48" t="str"/>
      <x:c r="AD54" s="48" t="str">
        <x:v>wave-1-ahlstrom-freudenberg</x:v>
      </x:c>
    </x:row>
    <x:row r="55">
      <x:c r="A55" s="48" t="str">
        <x:v>OPS-TX-054</x:v>
      </x:c>
      <x:c r="B55" s="48" t="str">
        <x:v>Ahlstrom</x:v>
      </x:c>
      <x:c r="C55" s="48" t="str">
        <x:v>Wound Care Nonwoven</x:v>
      </x:c>
      <x:c r="D55" s="48" t="str">
        <x:v>nao_tecido</x:v>
      </x:c>
      <x:c r="E55" s="48" t="str">
        <x:v>não tecido para curativos</x:v>
      </x:c>
      <x:c r="F55" s="48" t="str">
        <x:v>Página técnica oficial</x:v>
      </x:c>
      <x:c r="G55" s="48" t="str">
        <x:v>https://www.ahlstrom.com/products/medical-life-sciences-and-laboratory/pharmaceuticals-and-personal-hygiene/wound-care/</x:v>
      </x:c>
      <x:c r="H55" s="48" t="str">
        <x:v>Alta</x:v>
      </x:c>
      <x:c r="I55" s="48" t="str">
        <x:v>Internacional</x:v>
      </x:c>
      <x:c r="J55" s="48" t="str">
        <x:v>Solicitar amostra ao fabricante/distribuidor</x:v>
      </x:c>
      <x:c r="K55" s="48" t="str">
        <x:v>A solicitar</x:v>
      </x:c>
      <x:c r="L55" s="48" t="str">
        <x:v>Referência localizada</x:v>
      </x:c>
      <x:c r="M55" s="48" t="str">
        <x:v>Candidata</x:v>
      </x:c>
      <x:c r="N55" s="48" t="str">
        <x:v>Operations</x:v>
      </x:c>
      <x:c r="O55" s="48" t="n">
        <x:v>1</x:v>
      </x:c>
      <x:c r="P55" s="48"/>
      <x:c r="Q55" s="48" t="str"/>
      <x:c r="R55" s="48" t="str"/>
      <x:c r="S55" s="48" t="str">
        <x:v>Não revisada</x:v>
      </x:c>
      <x:c r="T55" s="48" t="str">
        <x:v>Confirmar ficha técnica/ensaio e código exato antes da aceitação.</x:v>
      </x:c>
      <x:c r="U55" s="48" t="str">
        <x:v>dimension-revision:structure.family:v0.3</x:v>
      </x:c>
      <x:c r="V55" s="48" t="str">
        <x:v>concept-revision:structure.family.nonwoven:v0.3</x:v>
      </x:c>
      <x:c r="W55" s="48" t="str"/>
      <x:c r="X55" s="48" t="str">
        <x:v>lead_only_not_asserted</x:v>
      </x:c>
      <x:c r="Y55" s="48" t="str">
        <x:v>textile-sample:ops-tx-054</x:v>
      </x:c>
      <x:c r="Z55" s="48" t="str"/>
      <x:c r="AA55" s="48" t="str"/>
      <x:c r="AB55" s="48" t="str"/>
      <x:c r="AC55" s="48" t="str"/>
      <x:c r="AD55" s="48" t="str">
        <x:v>wave-1-ahlstrom-freudenberg</x:v>
      </x:c>
    </x:row>
    <x:row r="56">
      <x:c r="A56" s="48" t="str">
        <x:v>OPS-TX-055</x:v>
      </x:c>
      <x:c r="B56" s="48" t="str">
        <x:v>Ahlstrom</x:v>
      </x:c>
      <x:c r="C56" s="48" t="str">
        <x:v>Face Mask Material</x:v>
      </x:c>
      <x:c r="D56" s="48" t="str">
        <x:v>nao_tecido</x:v>
      </x:c>
      <x:c r="E56" s="48" t="str">
        <x:v>substrato para máscaras</x:v>
      </x:c>
      <x:c r="F56" s="48" t="str">
        <x:v>Página técnica oficial</x:v>
      </x:c>
      <x:c r="G56" s="48" t="str">
        <x:v>https://www.ahlstrom.com/products/medical-life-sciences-and-laboratory/</x:v>
      </x:c>
      <x:c r="H56" s="48" t="str">
        <x:v>Alta</x:v>
      </x:c>
      <x:c r="I56" s="48" t="str">
        <x:v>Internacional</x:v>
      </x:c>
      <x:c r="J56" s="48" t="str">
        <x:v>Solicitar amostra ao fabricante/distribuidor</x:v>
      </x:c>
      <x:c r="K56" s="48" t="str">
        <x:v>A solicitar</x:v>
      </x:c>
      <x:c r="L56" s="48" t="str">
        <x:v>Referência localizada</x:v>
      </x:c>
      <x:c r="M56" s="48" t="str">
        <x:v>Candidata</x:v>
      </x:c>
      <x:c r="N56" s="48" t="str">
        <x:v>Operations</x:v>
      </x:c>
      <x:c r="O56" s="48" t="n">
        <x:v>1</x:v>
      </x:c>
      <x:c r="P56" s="48"/>
      <x:c r="Q56" s="48" t="str"/>
      <x:c r="R56" s="48" t="str"/>
      <x:c r="S56" s="48" t="str">
        <x:v>Não revisada</x:v>
      </x:c>
      <x:c r="T56" s="48" t="str">
        <x:v>Confirmar ficha técnica/ensaio e código exato antes da aceitação.</x:v>
      </x:c>
      <x:c r="U56" s="48" t="str">
        <x:v>dimension-revision:structure.family:v0.3</x:v>
      </x:c>
      <x:c r="V56" s="48" t="str">
        <x:v>concept-revision:structure.family.nonwoven:v0.3</x:v>
      </x:c>
      <x:c r="W56" s="48" t="str"/>
      <x:c r="X56" s="48" t="str">
        <x:v>lead_only_not_asserted</x:v>
      </x:c>
      <x:c r="Y56" s="48" t="str">
        <x:v>textile-sample:ops-tx-055</x:v>
      </x:c>
      <x:c r="Z56" s="48" t="str"/>
      <x:c r="AA56" s="48" t="str"/>
      <x:c r="AB56" s="48" t="str"/>
      <x:c r="AC56" s="48" t="str"/>
      <x:c r="AD56" s="48" t="str">
        <x:v>wave-1-ahlstrom-freudenberg</x:v>
      </x:c>
    </x:row>
    <x:row r="57">
      <x:c r="A57" s="48" t="str">
        <x:v>OPS-TX-056</x:v>
      </x:c>
      <x:c r="B57" s="48" t="str">
        <x:v>Carrington Textiles</x:v>
      </x:c>
      <x:c r="C57" s="48" t="str">
        <x:v>Flameshield 230</x:v>
      </x:c>
      <x:c r="D57" s="48" t="str">
        <x:v>tecido_plano</x:v>
      </x:c>
      <x:c r="E57" s="48" t="str">
        <x:v>tecido plano FR 230 g/m²</x:v>
      </x:c>
      <x:c r="F57" s="48" t="str">
        <x:v>Página técnica/certificação oficial; TDS disponível para membros ou sob solicitação</x:v>
      </x:c>
      <x:c r="G57" s="48" t="str">
        <x:v>https://www.carrington.co.uk/en/media/newsroom/flame-retardant-ru-marked-fabrics/</x:v>
      </x:c>
      <x:c r="H57" s="48" t="str">
        <x:v>Alta</x:v>
      </x:c>
      <x:c r="I57" s="48" t="str">
        <x:v>Internacional</x:v>
      </x:c>
      <x:c r="J57" s="48" t="str">
        <x:v>Solicitar amostra ao fabricante/distribuidor</x:v>
      </x:c>
      <x:c r="K57" s="48" t="str">
        <x:v>A solicitar</x:v>
      </x:c>
      <x:c r="L57" s="48" t="str">
        <x:v>Referência localizada</x:v>
      </x:c>
      <x:c r="M57" s="48" t="str">
        <x:v>Candidata</x:v>
      </x:c>
      <x:c r="N57" s="48" t="str">
        <x:v>Operations</x:v>
      </x:c>
      <x:c r="O57" s="48" t="n">
        <x:v>1</x:v>
      </x:c>
      <x:c r="P57" s="48"/>
      <x:c r="Q57" s="48" t="str"/>
      <x:c r="R57" s="48" t="str"/>
      <x:c r="S57" s="48" t="str">
        <x:v>Não revisada</x:v>
      </x:c>
      <x:c r="T57" s="48" t="str">
        <x:v>Confirmar ficha técnica/ensaio e código exato antes da aceitação.</x:v>
      </x:c>
      <x:c r="U57" s="48" t="str">
        <x:v>dimension-revision:structure.family:v0.3</x:v>
      </x:c>
      <x:c r="V57" s="48" t="str">
        <x:v>concept-revision:structure.family.woven_fabric:v0.3</x:v>
      </x:c>
      <x:c r="W57" s="48" t="str"/>
      <x:c r="X57" s="48" t="str">
        <x:v>lead_only_not_asserted</x:v>
      </x:c>
      <x:c r="Y57" s="48" t="str">
        <x:v>textile-sample:ops-tx-056</x:v>
      </x:c>
      <x:c r="Z57" s="48" t="str"/>
      <x:c r="AA57" s="48" t="str"/>
      <x:c r="AB57" s="48" t="str"/>
      <x:c r="AC57" s="48" t="str"/>
      <x:c r="AD57" s="48" t="str">
        <x:v>wave-1-carrington</x:v>
      </x:c>
    </x:row>
    <x:row r="58">
      <x:c r="A58" s="48" t="str">
        <x:v>OPS-TX-057</x:v>
      </x:c>
      <x:c r="B58" s="48" t="str">
        <x:v>Carrington Textiles</x:v>
      </x:c>
      <x:c r="C58" s="48" t="str">
        <x:v>Flameshield 280</x:v>
      </x:c>
      <x:c r="D58" s="48" t="str">
        <x:v>tecido_plano</x:v>
      </x:c>
      <x:c r="E58" s="48" t="str">
        <x:v>tecido plano FR 280 g/m²</x:v>
      </x:c>
      <x:c r="F58" s="48" t="str">
        <x:v>Página técnica/certificação oficial; TDS disponível para membros ou sob solicitação</x:v>
      </x:c>
      <x:c r="G58" s="48" t="str">
        <x:v>https://www.carrington.co.uk/en/media/newsroom/flame-retardant-ru-marked-fabrics/</x:v>
      </x:c>
      <x:c r="H58" s="48" t="str">
        <x:v>Alta</x:v>
      </x:c>
      <x:c r="I58" s="48" t="str">
        <x:v>Internacional</x:v>
      </x:c>
      <x:c r="J58" s="48" t="str">
        <x:v>Solicitar amostra ao fabricante/distribuidor</x:v>
      </x:c>
      <x:c r="K58" s="48" t="str">
        <x:v>A solicitar</x:v>
      </x:c>
      <x:c r="L58" s="48" t="str">
        <x:v>Referência localizada</x:v>
      </x:c>
      <x:c r="M58" s="48" t="str">
        <x:v>Candidata</x:v>
      </x:c>
      <x:c r="N58" s="48" t="str">
        <x:v>Operations</x:v>
      </x:c>
      <x:c r="O58" s="48" t="n">
        <x:v>1</x:v>
      </x:c>
      <x:c r="P58" s="48"/>
      <x:c r="Q58" s="48" t="str"/>
      <x:c r="R58" s="48" t="str"/>
      <x:c r="S58" s="48" t="str">
        <x:v>Não revisada</x:v>
      </x:c>
      <x:c r="T58" s="48" t="str">
        <x:v>Confirmar ficha técnica/ensaio e código exato antes da aceitação.</x:v>
      </x:c>
      <x:c r="U58" s="48" t="str">
        <x:v>dimension-revision:structure.family:v0.3</x:v>
      </x:c>
      <x:c r="V58" s="48" t="str">
        <x:v>concept-revision:structure.family.woven_fabric:v0.3</x:v>
      </x:c>
      <x:c r="W58" s="48" t="str"/>
      <x:c r="X58" s="48" t="str">
        <x:v>lead_only_not_asserted</x:v>
      </x:c>
      <x:c r="Y58" s="48" t="str">
        <x:v>textile-sample:ops-tx-057</x:v>
      </x:c>
      <x:c r="Z58" s="48" t="str"/>
      <x:c r="AA58" s="48" t="str"/>
      <x:c r="AB58" s="48" t="str"/>
      <x:c r="AC58" s="48" t="str"/>
      <x:c r="AD58" s="48" t="str">
        <x:v>wave-1-carrington</x:v>
      </x:c>
    </x:row>
    <x:row r="59">
      <x:c r="A59" s="48" t="str">
        <x:v>OPS-TX-058</x:v>
      </x:c>
      <x:c r="B59" s="48" t="str">
        <x:v>Carrington Textiles</x:v>
      </x:c>
      <x:c r="C59" s="48" t="str">
        <x:v>Flametuff 220AS</x:v>
      </x:c>
      <x:c r="D59" s="48" t="str">
        <x:v>tecido_plano</x:v>
      </x:c>
      <x:c r="E59" s="48" t="str">
        <x:v>tecido plano FR/antistático</x:v>
      </x:c>
      <x:c r="F59" s="48" t="str">
        <x:v>Página técnica/certificação oficial; TDS disponível para membros ou sob solicitação</x:v>
      </x:c>
      <x:c r="G59" s="48" t="str">
        <x:v>https://www.carrington.co.uk/en/media/newsroom/flame-retardant-ru-marked-fabrics/</x:v>
      </x:c>
      <x:c r="H59" s="48" t="str">
        <x:v>Alta</x:v>
      </x:c>
      <x:c r="I59" s="48" t="str">
        <x:v>Internacional</x:v>
      </x:c>
      <x:c r="J59" s="48" t="str">
        <x:v>Solicitar amostra ao fabricante/distribuidor</x:v>
      </x:c>
      <x:c r="K59" s="48" t="str">
        <x:v>A solicitar</x:v>
      </x:c>
      <x:c r="L59" s="48" t="str">
        <x:v>Referência localizada</x:v>
      </x:c>
      <x:c r="M59" s="48" t="str">
        <x:v>Candidata</x:v>
      </x:c>
      <x:c r="N59" s="48" t="str">
        <x:v>Operations</x:v>
      </x:c>
      <x:c r="O59" s="48" t="n">
        <x:v>1</x:v>
      </x:c>
      <x:c r="P59" s="48"/>
      <x:c r="Q59" s="48" t="str"/>
      <x:c r="R59" s="48" t="str"/>
      <x:c r="S59" s="48" t="str">
        <x:v>Não revisada</x:v>
      </x:c>
      <x:c r="T59" s="48" t="str">
        <x:v>Confirmar ficha técnica/ensaio e código exato antes da aceitação.</x:v>
      </x:c>
      <x:c r="U59" s="48" t="str">
        <x:v>dimension-revision:structure.family:v0.3</x:v>
      </x:c>
      <x:c r="V59" s="48" t="str">
        <x:v>concept-revision:structure.family.woven_fabric:v0.3</x:v>
      </x:c>
      <x:c r="W59" s="48" t="str"/>
      <x:c r="X59" s="48" t="str">
        <x:v>lead_only_not_asserted</x:v>
      </x:c>
      <x:c r="Y59" s="48" t="str">
        <x:v>textile-sample:ops-tx-058</x:v>
      </x:c>
      <x:c r="Z59" s="48" t="str"/>
      <x:c r="AA59" s="48" t="str"/>
      <x:c r="AB59" s="48" t="str"/>
      <x:c r="AC59" s="48" t="str"/>
      <x:c r="AD59" s="48" t="str">
        <x:v>wave-1-carrington</x:v>
      </x:c>
    </x:row>
    <x:row r="60">
      <x:c r="A60" s="48" t="str">
        <x:v>OPS-TX-059</x:v>
      </x:c>
      <x:c r="B60" s="48" t="str">
        <x:v>Carrington Textiles</x:v>
      </x:c>
      <x:c r="C60" s="48" t="str">
        <x:v>Satin 330AS</x:v>
      </x:c>
      <x:c r="D60" s="48" t="str">
        <x:v>tecido_plano</x:v>
      </x:c>
      <x:c r="E60" s="48" t="str">
        <x:v>cetim FR/antistático</x:v>
      </x:c>
      <x:c r="F60" s="48" t="str">
        <x:v>Página técnica/certificação oficial; TDS disponível para membros ou sob solicitação</x:v>
      </x:c>
      <x:c r="G60" s="48" t="str">
        <x:v>https://www.carrington.co.uk/en/media/newsroom/flame-retardant-ru-marked-fabrics/</x:v>
      </x:c>
      <x:c r="H60" s="48" t="str">
        <x:v>Alta</x:v>
      </x:c>
      <x:c r="I60" s="48" t="str">
        <x:v>Internacional</x:v>
      </x:c>
      <x:c r="J60" s="48" t="str">
        <x:v>Solicitar amostra ao fabricante/distribuidor</x:v>
      </x:c>
      <x:c r="K60" s="48" t="str">
        <x:v>A solicitar</x:v>
      </x:c>
      <x:c r="L60" s="48" t="str">
        <x:v>Referência localizada</x:v>
      </x:c>
      <x:c r="M60" s="48" t="str">
        <x:v>Candidata</x:v>
      </x:c>
      <x:c r="N60" s="48" t="str">
        <x:v>Operations</x:v>
      </x:c>
      <x:c r="O60" s="48" t="n">
        <x:v>1</x:v>
      </x:c>
      <x:c r="P60" s="48"/>
      <x:c r="Q60" s="48" t="str"/>
      <x:c r="R60" s="48" t="str"/>
      <x:c r="S60" s="48" t="str">
        <x:v>Não revisada</x:v>
      </x:c>
      <x:c r="T60" s="48" t="str">
        <x:v>Confirmar ficha técnica/ensaio e código exato antes da aceitação.</x:v>
      </x:c>
      <x:c r="U60" s="48" t="str">
        <x:v>dimension-revision:structure.family:v0.3</x:v>
      </x:c>
      <x:c r="V60" s="48" t="str">
        <x:v>concept-revision:structure.family.woven_fabric:v0.3</x:v>
      </x:c>
      <x:c r="W60" s="48" t="str">
        <x:v>concept-revision:construction.primary.satin:v0.3</x:v>
      </x:c>
      <x:c r="X60" s="48" t="str">
        <x:v>lead_only_not_asserted</x:v>
      </x:c>
      <x:c r="Y60" s="48" t="str">
        <x:v>textile-sample:ops-tx-059</x:v>
      </x:c>
      <x:c r="Z60" s="48" t="str"/>
      <x:c r="AA60" s="48" t="str"/>
      <x:c r="AB60" s="48" t="str"/>
      <x:c r="AC60" s="48" t="str"/>
      <x:c r="AD60" s="48" t="str">
        <x:v>wave-1-carrington</x:v>
      </x:c>
    </x:row>
    <x:row r="61">
      <x:c r="A61" s="48" t="str">
        <x:v>OPS-TX-060</x:v>
      </x:c>
      <x:c r="B61" s="48" t="str">
        <x:v>Carrington Textiles</x:v>
      </x:c>
      <x:c r="C61" s="48" t="str">
        <x:v>Spartan HT Flex Lite</x:v>
      </x:c>
      <x:c r="D61" s="48" t="str">
        <x:v>tecido_plano</x:v>
      </x:c>
      <x:c r="E61" s="48" t="str">
        <x:v>ripstop elástico 195 g/m²</x:v>
      </x:c>
      <x:c r="F61" s="48" t="str">
        <x:v>Página técnica/certificação oficial; TDS disponível para membros ou sob solicitação</x:v>
      </x:c>
      <x:c r="G61" s="48" t="str">
        <x:v>https://www.carrington.co.uk/en/media/newsroom/carrington-stretch-military-fabric/</x:v>
      </x:c>
      <x:c r="H61" s="48" t="str">
        <x:v>Alta</x:v>
      </x:c>
      <x:c r="I61" s="48" t="str">
        <x:v>Internacional</x:v>
      </x:c>
      <x:c r="J61" s="48" t="str">
        <x:v>Solicitar amostra ao fabricante/distribuidor</x:v>
      </x:c>
      <x:c r="K61" s="48" t="str">
        <x:v>A solicitar</x:v>
      </x:c>
      <x:c r="L61" s="48" t="str">
        <x:v>Referência localizada</x:v>
      </x:c>
      <x:c r="M61" s="48" t="str">
        <x:v>Candidata</x:v>
      </x:c>
      <x:c r="N61" s="48" t="str">
        <x:v>Operations</x:v>
      </x:c>
      <x:c r="O61" s="48" t="n">
        <x:v>1</x:v>
      </x:c>
      <x:c r="P61" s="48"/>
      <x:c r="Q61" s="48" t="str"/>
      <x:c r="R61" s="48" t="str"/>
      <x:c r="S61" s="48" t="str">
        <x:v>Não revisada</x:v>
      </x:c>
      <x:c r="T61" s="48" t="str">
        <x:v>Confirmar ficha técnica/ensaio e código exato antes da aceitação.</x:v>
      </x:c>
      <x:c r="U61" s="48" t="str">
        <x:v>dimension-revision:structure.family:v0.3</x:v>
      </x:c>
      <x:c r="V61" s="48" t="str">
        <x:v>concept-revision:structure.family.woven_fabric:v0.3</x:v>
      </x:c>
      <x:c r="W61" s="48" t="str">
        <x:v>concept-revision:patterning.special_construction.ripstop:v0.3</x:v>
      </x:c>
      <x:c r="X61" s="48" t="str">
        <x:v>lead_only_not_asserted</x:v>
      </x:c>
      <x:c r="Y61" s="48" t="str">
        <x:v>textile-sample:ops-tx-060</x:v>
      </x:c>
      <x:c r="Z61" s="48" t="str"/>
      <x:c r="AA61" s="48" t="str"/>
      <x:c r="AB61" s="48" t="str"/>
      <x:c r="AC61" s="48" t="str"/>
      <x:c r="AD61" s="48" t="str">
        <x:v>wave-1-carrington</x:v>
      </x:c>
    </x:row>
    <x:row r="62">
      <x:c r="A62" s="48" t="str">
        <x:v>OPS-TX-061</x:v>
      </x:c>
      <x:c r="B62" s="48" t="str">
        <x:v>Cedro Têxtil</x:v>
      </x:c>
      <x:c r="C62" s="48" t="str">
        <x:v>CEDRO RIP STOP SUPER</x:v>
      </x:c>
      <x:c r="D62" s="48" t="str">
        <x:v>tecido_plano</x:v>
      </x:c>
      <x:c r="E62" s="48" t="str">
        <x:v>tela 1x1 ripstop; 210 g/m²; 30% CO / 70% PES</x:v>
      </x:c>
      <x:c r="F62" s="48" t="str">
        <x:v>Ficha técnica pública na página oficial</x:v>
      </x:c>
      <x:c r="G62" s="48" t="str">
        <x:v>https://workwear.cedro.com.br/linhas/linha-security/</x:v>
      </x:c>
      <x:c r="H62" s="48" t="str">
        <x:v>Alta</x:v>
      </x:c>
      <x:c r="I62" s="48" t="str">
        <x:v>Brasil</x:v>
      </x:c>
      <x:c r="J62" s="48" t="str">
        <x:v>Contatar representante regional e solicitar retalho identificado</x:v>
      </x:c>
      <x:c r="K62" s="48" t="str">
        <x:v>A solicitar</x:v>
      </x:c>
      <x:c r="L62" s="48" t="str">
        <x:v>Referência localizada</x:v>
      </x:c>
      <x:c r="M62" s="48" t="str">
        <x:v>Candidata</x:v>
      </x:c>
      <x:c r="N62" s="48" t="str">
        <x:v>Operations</x:v>
      </x:c>
      <x:c r="O62" s="48" t="n">
        <x:v>1</x:v>
      </x:c>
      <x:c r="P62" s="48"/>
      <x:c r="Q62" s="48" t="str"/>
      <x:c r="R62" s="48" t="str"/>
      <x:c r="S62" s="48" t="str">
        <x:v>Não revisada</x:v>
      </x:c>
      <x:c r="T62" s="48" t="str">
        <x:v>Priorizar aquisição nacional. Conferir se a ficha vigente corresponde ao lote recebido.</x:v>
      </x:c>
      <x:c r="U62" s="48" t="str">
        <x:v>dimension-revision:structure.family:v0.3</x:v>
      </x:c>
      <x:c r="V62" s="48" t="str">
        <x:v>concept-revision:structure.family.woven_fabric:v0.3</x:v>
      </x:c>
      <x:c r="W62" s="48" t="str">
        <x:v>concept-revision:construction.primary.plain_weave:v0.3; concept-revision:patterning.special_construction.ripstop:v0.3</x:v>
      </x:c>
      <x:c r="X62" s="48" t="str">
        <x:v>lead_only_not_asserted</x:v>
      </x:c>
      <x:c r="Y62" s="48" t="str">
        <x:v>textile-sample:ops-tx-061</x:v>
      </x:c>
      <x:c r="Z62" s="48" t="str"/>
      <x:c r="AA62" s="48" t="str"/>
      <x:c r="AB62" s="48" t="str"/>
      <x:c r="AC62" s="48" t="str"/>
      <x:c r="AD62" s="48" t="str">
        <x:v>wave-1-cedro</x:v>
      </x:c>
    </x:row>
    <x:row r="63">
      <x:c r="A63" s="48" t="str">
        <x:v>OPS-TX-062</x:v>
      </x:c>
      <x:c r="B63" s="48" t="str">
        <x:v>Cedro Têxtil</x:v>
      </x:c>
      <x:c r="C63" s="48" t="str">
        <x:v>CEDROCONFORT RIP STOP II</x:v>
      </x:c>
      <x:c r="D63" s="48" t="str">
        <x:v>tecido_plano</x:v>
      </x:c>
      <x:c r="E63" s="48" t="str">
        <x:v>tela 1x1 ripstop; 235 g/m²; 67% CO / 33% PES</x:v>
      </x:c>
      <x:c r="F63" s="48" t="str">
        <x:v>Ficha técnica pública na página oficial</x:v>
      </x:c>
      <x:c r="G63" s="48" t="str">
        <x:v>https://workwear.cedro.com.br/linhas/linha-security/</x:v>
      </x:c>
      <x:c r="H63" s="48" t="str">
        <x:v>Alta</x:v>
      </x:c>
      <x:c r="I63" s="48" t="str">
        <x:v>Brasil</x:v>
      </x:c>
      <x:c r="J63" s="48" t="str">
        <x:v>Contatar representante regional e solicitar retalho identificado</x:v>
      </x:c>
      <x:c r="K63" s="48" t="str">
        <x:v>A solicitar</x:v>
      </x:c>
      <x:c r="L63" s="48" t="str">
        <x:v>Referência localizada</x:v>
      </x:c>
      <x:c r="M63" s="48" t="str">
        <x:v>Candidata</x:v>
      </x:c>
      <x:c r="N63" s="48" t="str">
        <x:v>Operations</x:v>
      </x:c>
      <x:c r="O63" s="48" t="n">
        <x:v>1</x:v>
      </x:c>
      <x:c r="P63" s="48"/>
      <x:c r="Q63" s="48" t="str"/>
      <x:c r="R63" s="48" t="str"/>
      <x:c r="S63" s="48" t="str">
        <x:v>Não revisada</x:v>
      </x:c>
      <x:c r="T63" s="48" t="str">
        <x:v>Priorizar aquisição nacional. Conferir se a ficha vigente corresponde ao lote recebido.</x:v>
      </x:c>
      <x:c r="U63" s="48" t="str">
        <x:v>dimension-revision:structure.family:v0.3</x:v>
      </x:c>
      <x:c r="V63" s="48" t="str">
        <x:v>concept-revision:structure.family.woven_fabric:v0.3</x:v>
      </x:c>
      <x:c r="W63" s="48" t="str">
        <x:v>concept-revision:construction.primary.plain_weave:v0.3; concept-revision:patterning.special_construction.ripstop:v0.3</x:v>
      </x:c>
      <x:c r="X63" s="48" t="str">
        <x:v>lead_only_not_asserted</x:v>
      </x:c>
      <x:c r="Y63" s="48" t="str">
        <x:v>textile-sample:ops-tx-062</x:v>
      </x:c>
      <x:c r="Z63" s="48" t="str"/>
      <x:c r="AA63" s="48" t="str"/>
      <x:c r="AB63" s="48" t="str"/>
      <x:c r="AC63" s="48" t="str"/>
      <x:c r="AD63" s="48" t="str">
        <x:v>wave-1-cedro</x:v>
      </x:c>
    </x:row>
    <x:row r="64">
      <x:c r="A64" s="48" t="str">
        <x:v>OPS-TX-063</x:v>
      </x:c>
      <x:c r="B64" s="48" t="str">
        <x:v>Cedro Têxtil</x:v>
      </x:c>
      <x:c r="C64" s="48" t="str">
        <x:v>FLEX RIP STOP MAIS</x:v>
      </x:c>
      <x:c r="D64" s="48" t="str">
        <x:v>tecido_plano</x:v>
      </x:c>
      <x:c r="E64" s="48" t="str">
        <x:v>sarja 3x1 ripstop; 235 g/m²; CO/PES/EME</x:v>
      </x:c>
      <x:c r="F64" s="48" t="str">
        <x:v>Ficha técnica pública na página oficial</x:v>
      </x:c>
      <x:c r="G64" s="48" t="str">
        <x:v>https://workwear.cedro.com.br/linhas/linha-security/</x:v>
      </x:c>
      <x:c r="H64" s="48" t="str">
        <x:v>Alta</x:v>
      </x:c>
      <x:c r="I64" s="48" t="str">
        <x:v>Brasil</x:v>
      </x:c>
      <x:c r="J64" s="48" t="str">
        <x:v>Contatar representante regional e solicitar retalho identificado</x:v>
      </x:c>
      <x:c r="K64" s="48" t="str">
        <x:v>A solicitar</x:v>
      </x:c>
      <x:c r="L64" s="48" t="str">
        <x:v>Referência localizada</x:v>
      </x:c>
      <x:c r="M64" s="48" t="str">
        <x:v>Candidata</x:v>
      </x:c>
      <x:c r="N64" s="48" t="str">
        <x:v>Operations</x:v>
      </x:c>
      <x:c r="O64" s="48" t="n">
        <x:v>1</x:v>
      </x:c>
      <x:c r="P64" s="48"/>
      <x:c r="Q64" s="48" t="str"/>
      <x:c r="R64" s="48" t="str"/>
      <x:c r="S64" s="48" t="str">
        <x:v>Não revisada</x:v>
      </x:c>
      <x:c r="T64" s="48" t="str">
        <x:v>Priorizar aquisição nacional. Conferir se a ficha vigente corresponde ao lote recebido.</x:v>
      </x:c>
      <x:c r="U64" s="48" t="str">
        <x:v>dimension-revision:structure.family:v0.3</x:v>
      </x:c>
      <x:c r="V64" s="48" t="str">
        <x:v>concept-revision:structure.family.woven_fabric:v0.3</x:v>
      </x:c>
      <x:c r="W64" s="48" t="str">
        <x:v>concept-revision:construction.primary.twill:v0.3; concept-revision:patterning.special_construction.ripstop:v0.3</x:v>
      </x:c>
      <x:c r="X64" s="48" t="str">
        <x:v>lead_only_not_asserted</x:v>
      </x:c>
      <x:c r="Y64" s="48" t="str">
        <x:v>textile-sample:ops-tx-063</x:v>
      </x:c>
      <x:c r="Z64" s="48" t="str"/>
      <x:c r="AA64" s="48" t="str"/>
      <x:c r="AB64" s="48" t="str"/>
      <x:c r="AC64" s="48" t="str"/>
      <x:c r="AD64" s="48" t="str">
        <x:v>wave-1-cedro</x:v>
      </x:c>
    </x:row>
    <x:row r="65">
      <x:c r="A65" s="48" t="str">
        <x:v>OPS-TX-064</x:v>
      </x:c>
      <x:c r="B65" s="48" t="str">
        <x:v>Cedro Têxtil</x:v>
      </x:c>
      <x:c r="C65" s="48" t="str">
        <x:v>POLYCOTTONCEDRO SUPER II</x:v>
      </x:c>
      <x:c r="D65" s="48" t="str">
        <x:v>tecido_plano</x:v>
      </x:c>
      <x:c r="E65" s="48" t="str">
        <x:v>sarja 2x1; 221 g/m²; 33% CO / 67% PES</x:v>
      </x:c>
      <x:c r="F65" s="48" t="str">
        <x:v>Ficha técnica pública na página oficial</x:v>
      </x:c>
      <x:c r="G65" s="48" t="str">
        <x:v>https://workwear.cedro.com.br/linhas/linha-security/</x:v>
      </x:c>
      <x:c r="H65" s="48" t="str">
        <x:v>Alta</x:v>
      </x:c>
      <x:c r="I65" s="48" t="str">
        <x:v>Brasil</x:v>
      </x:c>
      <x:c r="J65" s="48" t="str">
        <x:v>Contatar representante regional e solicitar retalho identificado</x:v>
      </x:c>
      <x:c r="K65" s="48" t="str">
        <x:v>A solicitar</x:v>
      </x:c>
      <x:c r="L65" s="48" t="str">
        <x:v>Referência localizada</x:v>
      </x:c>
      <x:c r="M65" s="48" t="str">
        <x:v>Candidata</x:v>
      </x:c>
      <x:c r="N65" s="48" t="str">
        <x:v>Operations</x:v>
      </x:c>
      <x:c r="O65" s="48" t="n">
        <x:v>1</x:v>
      </x:c>
      <x:c r="P65" s="48"/>
      <x:c r="Q65" s="48" t="str"/>
      <x:c r="R65" s="48" t="str"/>
      <x:c r="S65" s="48" t="str">
        <x:v>Não revisada</x:v>
      </x:c>
      <x:c r="T65" s="48" t="str">
        <x:v>Priorizar aquisição nacional. Conferir se a ficha vigente corresponde ao lote recebido.</x:v>
      </x:c>
      <x:c r="U65" s="48" t="str">
        <x:v>dimension-revision:structure.family:v0.3</x:v>
      </x:c>
      <x:c r="V65" s="48" t="str">
        <x:v>concept-revision:structure.family.woven_fabric:v0.3</x:v>
      </x:c>
      <x:c r="W65" s="48" t="str">
        <x:v>concept-revision:construction.primary.twill:v0.3</x:v>
      </x:c>
      <x:c r="X65" s="48" t="str">
        <x:v>lead_only_not_asserted</x:v>
      </x:c>
      <x:c r="Y65" s="48" t="str">
        <x:v>textile-sample:ops-tx-064</x:v>
      </x:c>
      <x:c r="Z65" s="48" t="str"/>
      <x:c r="AA65" s="48" t="str"/>
      <x:c r="AB65" s="48" t="str"/>
      <x:c r="AC65" s="48" t="str"/>
      <x:c r="AD65" s="48" t="str">
        <x:v>wave-1-cedro</x:v>
      </x:c>
    </x:row>
    <x:row r="66">
      <x:c r="A66" s="48" t="str">
        <x:v>OPS-TX-065</x:v>
      </x:c>
      <x:c r="B66" s="48" t="str">
        <x:v>Cedro Têxtil</x:v>
      </x:c>
      <x:c r="C66" s="48" t="str">
        <x:v>Kazan Plus</x:v>
      </x:c>
      <x:c r="D66" s="48" t="str">
        <x:v>tecido_plano</x:v>
      </x:c>
      <x:c r="E66" s="48" t="str">
        <x:v>sarja 3x1 Z; 350 g/m²; 98% CO / 2% PUE</x:v>
      </x:c>
      <x:c r="F66" s="48" t="str">
        <x:v>Ficha técnica pública na página oficial</x:v>
      </x:c>
      <x:c r="G66" s="48" t="str">
        <x:v>https://jeanswear.cedro.com.br/produto/elastic/denim-elastic/kazan-plus/</x:v>
      </x:c>
      <x:c r="H66" s="48" t="str">
        <x:v>Alta</x:v>
      </x:c>
      <x:c r="I66" s="48" t="str">
        <x:v>Brasil</x:v>
      </x:c>
      <x:c r="J66" s="48" t="str">
        <x:v>Contatar representante regional e solicitar retalho identificado</x:v>
      </x:c>
      <x:c r="K66" s="48" t="str">
        <x:v>A solicitar</x:v>
      </x:c>
      <x:c r="L66" s="48" t="str">
        <x:v>Referência localizada</x:v>
      </x:c>
      <x:c r="M66" s="48" t="str">
        <x:v>Candidata</x:v>
      </x:c>
      <x:c r="N66" s="48" t="str">
        <x:v>Operations</x:v>
      </x:c>
      <x:c r="O66" s="48" t="n">
        <x:v>1</x:v>
      </x:c>
      <x:c r="P66" s="48"/>
      <x:c r="Q66" s="48" t="str"/>
      <x:c r="R66" s="48" t="str"/>
      <x:c r="S66" s="48" t="str">
        <x:v>Não revisada</x:v>
      </x:c>
      <x:c r="T66" s="48" t="str">
        <x:v>Priorizar aquisição nacional. Conferir se a ficha vigente corresponde ao lote recebido.</x:v>
      </x:c>
      <x:c r="U66" s="48" t="str">
        <x:v>dimension-revision:structure.family:v0.3</x:v>
      </x:c>
      <x:c r="V66" s="48" t="str">
        <x:v>concept-revision:structure.family.woven_fabric:v0.3</x:v>
      </x:c>
      <x:c r="W66" s="48" t="str">
        <x:v>concept-revision:construction.primary.twill:v0.3</x:v>
      </x:c>
      <x:c r="X66" s="48" t="str">
        <x:v>lead_only_not_asserted</x:v>
      </x:c>
      <x:c r="Y66" s="48" t="str">
        <x:v>textile-sample:ops-tx-065</x:v>
      </x:c>
      <x:c r="Z66" s="48" t="str"/>
      <x:c r="AA66" s="48" t="str"/>
      <x:c r="AB66" s="48" t="str"/>
      <x:c r="AC66" s="48" t="str"/>
      <x:c r="AD66" s="48" t="str">
        <x:v>wave-1-cedro</x:v>
      </x:c>
    </x:row>
    <x:row r="67">
      <x:c r="A67" s="48" t="str">
        <x:v>OPS-TX-066</x:v>
      </x:c>
      <x:c r="B67" s="48" t="str">
        <x:v>Cedro Têxtil</x:v>
      </x:c>
      <x:c r="C67" s="48" t="str">
        <x:v>Colorado Stretch</x:v>
      </x:c>
      <x:c r="D67" s="48" t="str">
        <x:v>tecido_plano</x:v>
      </x:c>
      <x:c r="E67" s="48" t="str">
        <x:v>sarja 3x1 Z; 306 g/m²; 98% CO / 2% PUE</x:v>
      </x:c>
      <x:c r="F67" s="48" t="str">
        <x:v>Ficha técnica pública na página oficial</x:v>
      </x:c>
      <x:c r="G67" s="48" t="str">
        <x:v>https://jeanswear.cedro.com.br/produto/elastic/denim-elastic/colorado-stretch/</x:v>
      </x:c>
      <x:c r="H67" s="48" t="str">
        <x:v>Alta</x:v>
      </x:c>
      <x:c r="I67" s="48" t="str">
        <x:v>Brasil</x:v>
      </x:c>
      <x:c r="J67" s="48" t="str">
        <x:v>Contatar representante regional e solicitar retalho identificado</x:v>
      </x:c>
      <x:c r="K67" s="48" t="str">
        <x:v>A solicitar</x:v>
      </x:c>
      <x:c r="L67" s="48" t="str">
        <x:v>Referência localizada</x:v>
      </x:c>
      <x:c r="M67" s="48" t="str">
        <x:v>Candidata</x:v>
      </x:c>
      <x:c r="N67" s="48" t="str">
        <x:v>Operations</x:v>
      </x:c>
      <x:c r="O67" s="48" t="n">
        <x:v>1</x:v>
      </x:c>
      <x:c r="P67" s="48"/>
      <x:c r="Q67" s="48" t="str"/>
      <x:c r="R67" s="48" t="str"/>
      <x:c r="S67" s="48" t="str">
        <x:v>Não revisada</x:v>
      </x:c>
      <x:c r="T67" s="48" t="str">
        <x:v>Priorizar aquisição nacional. Conferir se a ficha vigente corresponde ao lote recebido.</x:v>
      </x:c>
      <x:c r="U67" s="48" t="str">
        <x:v>dimension-revision:structure.family:v0.3</x:v>
      </x:c>
      <x:c r="V67" s="48" t="str">
        <x:v>concept-revision:structure.family.woven_fabric:v0.3</x:v>
      </x:c>
      <x:c r="W67" s="48" t="str">
        <x:v>concept-revision:construction.primary.twill:v0.3</x:v>
      </x:c>
      <x:c r="X67" s="48" t="str">
        <x:v>lead_only_not_asserted</x:v>
      </x:c>
      <x:c r="Y67" s="48" t="str">
        <x:v>textile-sample:ops-tx-066</x:v>
      </x:c>
      <x:c r="Z67" s="48" t="str"/>
      <x:c r="AA67" s="48" t="str"/>
      <x:c r="AB67" s="48" t="str"/>
      <x:c r="AC67" s="48" t="str"/>
      <x:c r="AD67" s="48" t="str">
        <x:v>wave-1-cedro</x:v>
      </x:c>
    </x:row>
    <x:row r="68">
      <x:c r="A68" s="48" t="str">
        <x:v>OPS-TX-067</x:v>
      </x:c>
      <x:c r="B68" s="48" t="str">
        <x:v>Cedro Têxtil</x:v>
      </x:c>
      <x:c r="C68" s="48" t="str">
        <x:v>Aiyunni</x:v>
      </x:c>
      <x:c r="D68" s="48" t="str">
        <x:v>tecido_plano</x:v>
      </x:c>
      <x:c r="E68" s="48" t="str">
        <x:v>sarja 3x1 Z; 297 g/m²; 98% CO / 2% PUE</x:v>
      </x:c>
      <x:c r="F68" s="48" t="str">
        <x:v>Ficha técnica pública na página oficial</x:v>
      </x:c>
      <x:c r="G68" s="48" t="str">
        <x:v>https://jeanswear.cedro.com.br/produto/elastic/denim-elastic/aiyunni/</x:v>
      </x:c>
      <x:c r="H68" s="48" t="str">
        <x:v>Alta</x:v>
      </x:c>
      <x:c r="I68" s="48" t="str">
        <x:v>Brasil</x:v>
      </x:c>
      <x:c r="J68" s="48" t="str">
        <x:v>Contatar representante regional e solicitar retalho identificado</x:v>
      </x:c>
      <x:c r="K68" s="48" t="str">
        <x:v>A solicitar</x:v>
      </x:c>
      <x:c r="L68" s="48" t="str">
        <x:v>Referência localizada</x:v>
      </x:c>
      <x:c r="M68" s="48" t="str">
        <x:v>Candidata</x:v>
      </x:c>
      <x:c r="N68" s="48" t="str">
        <x:v>Operations</x:v>
      </x:c>
      <x:c r="O68" s="48" t="n">
        <x:v>1</x:v>
      </x:c>
      <x:c r="P68" s="48"/>
      <x:c r="Q68" s="48" t="str"/>
      <x:c r="R68" s="48" t="str"/>
      <x:c r="S68" s="48" t="str">
        <x:v>Não revisada</x:v>
      </x:c>
      <x:c r="T68" s="48" t="str">
        <x:v>Priorizar aquisição nacional. Conferir se a ficha vigente corresponde ao lote recebido.</x:v>
      </x:c>
      <x:c r="U68" s="48" t="str">
        <x:v>dimension-revision:structure.family:v0.3</x:v>
      </x:c>
      <x:c r="V68" s="48" t="str">
        <x:v>concept-revision:structure.family.woven_fabric:v0.3</x:v>
      </x:c>
      <x:c r="W68" s="48" t="str">
        <x:v>concept-revision:construction.primary.twill:v0.3</x:v>
      </x:c>
      <x:c r="X68" s="48" t="str">
        <x:v>lead_only_not_asserted</x:v>
      </x:c>
      <x:c r="Y68" s="48" t="str">
        <x:v>textile-sample:ops-tx-067</x:v>
      </x:c>
      <x:c r="Z68" s="48" t="str"/>
      <x:c r="AA68" s="48" t="str"/>
      <x:c r="AB68" s="48" t="str"/>
      <x:c r="AC68" s="48" t="str"/>
      <x:c r="AD68" s="48" t="str">
        <x:v>wave-1-cedro</x:v>
      </x:c>
    </x:row>
    <x:row r="69">
      <x:c r="A69" s="48" t="str">
        <x:v>OPS-TX-068</x:v>
      </x:c>
      <x:c r="B69" s="48" t="str">
        <x:v>Cedro Têxtil</x:v>
      </x:c>
      <x:c r="C69" s="48" t="str">
        <x:v>Kiraz Blue</x:v>
      </x:c>
      <x:c r="D69" s="48" t="str">
        <x:v>tecido_plano</x:v>
      </x:c>
      <x:c r="E69" s="48" t="str">
        <x:v>sarja 3x1 Z; composição mista</x:v>
      </x:c>
      <x:c r="F69" s="48" t="str">
        <x:v>Ficha técnica pública na página oficial</x:v>
      </x:c>
      <x:c r="G69" s="48" t="str">
        <x:v>https://jeanswear.cedro.com.br/produto/elastic/denim-elastic/kiraz-blue/</x:v>
      </x:c>
      <x:c r="H69" s="48" t="str">
        <x:v>Alta</x:v>
      </x:c>
      <x:c r="I69" s="48" t="str">
        <x:v>Brasil</x:v>
      </x:c>
      <x:c r="J69" s="48" t="str">
        <x:v>Contatar representante regional e solicitar retalho identificado</x:v>
      </x:c>
      <x:c r="K69" s="48" t="str">
        <x:v>A solicitar</x:v>
      </x:c>
      <x:c r="L69" s="48" t="str">
        <x:v>Referência localizada</x:v>
      </x:c>
      <x:c r="M69" s="48" t="str">
        <x:v>Candidata</x:v>
      </x:c>
      <x:c r="N69" s="48" t="str">
        <x:v>Operations</x:v>
      </x:c>
      <x:c r="O69" s="48" t="n">
        <x:v>1</x:v>
      </x:c>
      <x:c r="P69" s="48"/>
      <x:c r="Q69" s="48" t="str"/>
      <x:c r="R69" s="48" t="str"/>
      <x:c r="S69" s="48" t="str">
        <x:v>Não revisada</x:v>
      </x:c>
      <x:c r="T69" s="48" t="str">
        <x:v>Priorizar aquisição nacional. Conferir se a ficha vigente corresponde ao lote recebido.</x:v>
      </x:c>
      <x:c r="U69" s="48" t="str">
        <x:v>dimension-revision:structure.family:v0.3</x:v>
      </x:c>
      <x:c r="V69" s="48" t="str">
        <x:v>concept-revision:structure.family.woven_fabric:v0.3</x:v>
      </x:c>
      <x:c r="W69" s="48" t="str">
        <x:v>concept-revision:construction.primary.twill:v0.3</x:v>
      </x:c>
      <x:c r="X69" s="48" t="str">
        <x:v>lead_only_not_asserted</x:v>
      </x:c>
      <x:c r="Y69" s="48" t="str">
        <x:v>textile-sample:ops-tx-068</x:v>
      </x:c>
      <x:c r="Z69" s="48" t="str"/>
      <x:c r="AA69" s="48" t="str"/>
      <x:c r="AB69" s="48" t="str"/>
      <x:c r="AC69" s="48" t="str"/>
      <x:c r="AD69" s="48" t="str">
        <x:v>wave-1-cedro</x:v>
      </x:c>
    </x:row>
    <x:row r="70">
      <x:c r="A70" s="48" t="str">
        <x:v>OPS-TX-069</x:v>
      </x:c>
      <x:c r="B70" s="48" t="str">
        <x:v>Cedro Têxtil</x:v>
      </x:c>
      <x:c r="C70" s="48" t="str">
        <x:v>New Stretch 7oz</x:v>
      </x:c>
      <x:c r="D70" s="48" t="str">
        <x:v>tecido_plano</x:v>
      </x:c>
      <x:c r="E70" s="48" t="str">
        <x:v>sarja 2x1 S; 239 g/m²; 98% CO / 2% PUE</x:v>
      </x:c>
      <x:c r="F70" s="48" t="str">
        <x:v>Ficha técnica pública na página oficial</x:v>
      </x:c>
      <x:c r="G70" s="48" t="str">
        <x:v>https://jeanswear.cedro.com.br/produto/elastic/colours-elastic/new-stretch/</x:v>
      </x:c>
      <x:c r="H70" s="48" t="str">
        <x:v>Alta</x:v>
      </x:c>
      <x:c r="I70" s="48" t="str">
        <x:v>Brasil</x:v>
      </x:c>
      <x:c r="J70" s="48" t="str">
        <x:v>Contatar representante regional e solicitar retalho identificado</x:v>
      </x:c>
      <x:c r="K70" s="48" t="str">
        <x:v>A solicitar</x:v>
      </x:c>
      <x:c r="L70" s="48" t="str">
        <x:v>Referência localizada</x:v>
      </x:c>
      <x:c r="M70" s="48" t="str">
        <x:v>Candidata</x:v>
      </x:c>
      <x:c r="N70" s="48" t="str">
        <x:v>Operations</x:v>
      </x:c>
      <x:c r="O70" s="48" t="n">
        <x:v>1</x:v>
      </x:c>
      <x:c r="P70" s="48"/>
      <x:c r="Q70" s="48" t="str"/>
      <x:c r="R70" s="48" t="str"/>
      <x:c r="S70" s="48" t="str">
        <x:v>Não revisada</x:v>
      </x:c>
      <x:c r="T70" s="48" t="str">
        <x:v>Priorizar aquisição nacional. Conferir se a ficha vigente corresponde ao lote recebido.</x:v>
      </x:c>
      <x:c r="U70" s="48" t="str">
        <x:v>dimension-revision:structure.family:v0.3</x:v>
      </x:c>
      <x:c r="V70" s="48" t="str">
        <x:v>concept-revision:structure.family.woven_fabric:v0.3</x:v>
      </x:c>
      <x:c r="W70" s="48" t="str">
        <x:v>concept-revision:construction.primary.twill:v0.3</x:v>
      </x:c>
      <x:c r="X70" s="48" t="str">
        <x:v>lead_only_not_asserted</x:v>
      </x:c>
      <x:c r="Y70" s="48" t="str">
        <x:v>textile-sample:ops-tx-069</x:v>
      </x:c>
      <x:c r="Z70" s="48" t="str"/>
      <x:c r="AA70" s="48" t="str"/>
      <x:c r="AB70" s="48" t="str"/>
      <x:c r="AC70" s="48" t="str"/>
      <x:c r="AD70" s="48" t="str">
        <x:v>wave-1-cedro</x:v>
      </x:c>
    </x:row>
    <x:row r="71">
      <x:c r="A71" s="48" t="str">
        <x:v>OPS-TX-070</x:v>
      </x:c>
      <x:c r="B71" s="48" t="str">
        <x:v>Cedro Têxtil</x:v>
      </x:c>
      <x:c r="C71" s="48" t="str">
        <x:v>New Flex 8,3oz</x:v>
      </x:c>
      <x:c r="D71" s="48" t="str">
        <x:v>tecido_plano</x:v>
      </x:c>
      <x:c r="E71" s="48" t="str">
        <x:v>sarja elastizada; ficha técnica pública</x:v>
      </x:c>
      <x:c r="F71" s="48" t="str">
        <x:v>Ficha técnica pública na página oficial</x:v>
      </x:c>
      <x:c r="G71" s="48" t="str">
        <x:v>https://jeanswear.cedro.com.br/produto/elastic/colours-elastic/new-flex/</x:v>
      </x:c>
      <x:c r="H71" s="48" t="str">
        <x:v>Alta</x:v>
      </x:c>
      <x:c r="I71" s="48" t="str">
        <x:v>Brasil</x:v>
      </x:c>
      <x:c r="J71" s="48" t="str">
        <x:v>Contatar representante regional e solicitar retalho identificado</x:v>
      </x:c>
      <x:c r="K71" s="48" t="str">
        <x:v>A solicitar</x:v>
      </x:c>
      <x:c r="L71" s="48" t="str">
        <x:v>Referência localizada</x:v>
      </x:c>
      <x:c r="M71" s="48" t="str">
        <x:v>Candidata</x:v>
      </x:c>
      <x:c r="N71" s="48" t="str">
        <x:v>Operations</x:v>
      </x:c>
      <x:c r="O71" s="48" t="n">
        <x:v>1</x:v>
      </x:c>
      <x:c r="P71" s="48"/>
      <x:c r="Q71" s="48" t="str"/>
      <x:c r="R71" s="48" t="str"/>
      <x:c r="S71" s="48" t="str">
        <x:v>Não revisada</x:v>
      </x:c>
      <x:c r="T71" s="48" t="str">
        <x:v>Priorizar aquisição nacional. Conferir se a ficha vigente corresponde ao lote recebido.</x:v>
      </x:c>
      <x:c r="U71" s="48" t="str">
        <x:v>dimension-revision:structure.family:v0.3</x:v>
      </x:c>
      <x:c r="V71" s="48" t="str">
        <x:v>concept-revision:structure.family.woven_fabric:v0.3</x:v>
      </x:c>
      <x:c r="W71" s="48" t="str">
        <x:v>concept-revision:construction.primary.twill:v0.3</x:v>
      </x:c>
      <x:c r="X71" s="48" t="str">
        <x:v>lead_only_not_asserted</x:v>
      </x:c>
      <x:c r="Y71" s="48" t="str">
        <x:v>textile-sample:ops-tx-070</x:v>
      </x:c>
      <x:c r="Z71" s="48" t="str"/>
      <x:c r="AA71" s="48" t="str"/>
      <x:c r="AB71" s="48" t="str"/>
      <x:c r="AC71" s="48" t="str"/>
      <x:c r="AD71" s="48" t="str">
        <x:v>wave-1-cedro</x:v>
      </x:c>
    </x:row>
  </x:sheetData>
  <x:conditionalFormatting sqref="M2:M71">
    <x:cfRule type="expression" dxfId="1" priority="1">
      <x:formula>M2="Aceita"</x:formula>
    </x:cfRule>
    <x:cfRule type="expression" dxfId="2" priority="2">
      <x:formula>M2="Rejeitada"</x:formula>
    </x:cfRule>
  </x:conditionalFormatting>
  <x:conditionalFormatting sqref="X2:X71">
    <x:cfRule type="expression" dxfId="3" priority="3">
      <x:formula>X2="lead_only_not_asserted"</x:formula>
    </x:cfRule>
    <x:cfRule type="expression" dxfId="4" priority="4">
      <x:formula>X2="accepted_gold"</x:formula>
    </x:cfRule>
  </x:conditionalFormatting>
  <x:dataValidations count="6">
    <x:dataValidation type="list" sqref="H2:H71">
      <x:formula1>"Alta,Média,Baixa"</x:formula1>
    </x:dataValidation>
    <x:dataValidation type="list" sqref="K2:K71">
      <x:formula1>"A solicitar,Solicitada,Recebida,Recusada"</x:formula1>
    </x:dataValidation>
    <x:dataValidation type="list" sqref="L2:L71">
      <x:formula1>"Referência localizada,Documento solicitado,Documento recebido,Documento validado,Documento insuficiente"</x:formula1>
    </x:dataValidation>
    <x:dataValidation type="list" sqref="M2:M71">
      <x:formula1>"Candidata,Pré-selecionada,Aceita,Rejeitada,Arquivada"</x:formula1>
    </x:dataValidation>
    <x:dataValidation type="list" sqref="S2:S71">
      <x:formula1>"Não revisada,Em revisão,Aprovada,Reprovada"</x:formula1>
    </x:dataValidation>
    <x:dataValidation type="list" sqref="X2:X71">
      <x:formula1>"lead_only_not_asserted,evidence_received,asserted_unreviewed,reviewed,accepted_gold,rejected"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f3de4f58e74c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49" hidden="0" customWidth="1"/>
  </x:cols>
  <x:sheetData>
    <x:row r="1">
      <x:c r="A1" s="38" t="str">
        <x:v>Família estrutural alvo</x:v>
      </x:c>
      <x:c r="B1" s="38" t="str">
        <x:v>Quantidade planejada</x:v>
      </x:c>
      <x:c r="C1" s="38" t="str">
        <x:v>Mínimo recomendado</x:v>
      </x:c>
      <x:c r="D1" s="38" t="str">
        <x:v>Gap</x:v>
      </x:c>
      <x:c r="E1" s="38" t="str">
        <x:v>Observação</x:v>
      </x:c>
    </x:row>
    <x:row r="2">
      <x:c r="A2" s="39" t="str">
        <x:v>tecido_plano</x:v>
      </x:c>
      <x:c r="B2" s="39" t="n">
        <x:v>27</x:v>
      </x:c>
      <x:c r="C2" s="39" t="n">
        <x:v>15</x:v>
      </x:c>
      <x:c r="D2" s="39" t="n">
        <x:v>12</x:v>
      </x:c>
      <x:c r="E2" s="39" t="str">
        <x:v>Confirmar após recebimento e revisão documental</x:v>
      </x:c>
    </x:row>
    <x:row r="3">
      <x:c r="A3" s="39" t="str">
        <x:v>malha_trama</x:v>
      </x:c>
      <x:c r="B3" s="39" t="n">
        <x:v>18</x:v>
      </x:c>
      <x:c r="C3" s="39" t="n">
        <x:v>15</x:v>
      </x:c>
      <x:c r="D3" s="39" t="n">
        <x:v>3</x:v>
      </x:c>
      <x:c r="E3" s="39" t="str">
        <x:v>Confirmar após recebimento e revisão documental</x:v>
      </x:c>
    </x:row>
    <x:row r="4">
      <x:c r="A4" s="39" t="str">
        <x:v>malha_urdume</x:v>
      </x:c>
      <x:c r="B4" s="39" t="n">
        <x:v>0</x:v>
      </x:c>
      <x:c r="C4" s="39" t="n">
        <x:v>3</x:v>
      </x:c>
      <x:c r="D4" s="39" t="n">
        <x:v>-3</x:v>
      </x:c>
      <x:c r="E4" s="39" t="str">
        <x:v>Lacuna; leads técnicos fora das 70 candidatas</x:v>
      </x:c>
    </x:row>
    <x:row r="5">
      <x:c r="A5" s="39" t="str">
        <x:v>nao_tecido</x:v>
      </x:c>
      <x:c r="B5" s="39" t="n">
        <x:v>16</x:v>
      </x:c>
      <x:c r="C5" s="39" t="n">
        <x:v>12</x:v>
      </x:c>
      <x:c r="D5" s="39" t="n">
        <x:v>4</x:v>
      </x:c>
      <x:c r="E5" s="39" t="str">
        <x:v>Confirmar após recebimento e revisão documental</x:v>
      </x:c>
    </x:row>
    <x:row r="6">
      <x:c r="A6" s="39" t="str">
        <x:v>estrutura_composta</x:v>
      </x:c>
      <x:c r="B6" s="39" t="n">
        <x:v>8</x:v>
      </x:c>
      <x:c r="C6" s="39" t="n">
        <x:v>6</x:v>
      </x:c>
      <x:c r="D6" s="39" t="n">
        <x:v>2</x:v>
      </x:c>
      <x:c r="E6" s="39" t="str">
        <x:v>Confirmar após recebimento e revisão documental</x:v>
      </x:c>
    </x:row>
    <x:row r="7">
      <x:c r="A7" s="39" t="str">
        <x:v>entrelacado_trancado</x:v>
      </x:c>
      <x:c r="B7" s="39" t="n">
        <x:v>1</x:v>
      </x:c>
      <x:c r="C7" s="39" t="n">
        <x:v>1</x:v>
      </x:c>
      <x:c r="D7" s="39" t="n">
        <x:v>0</x:v>
      </x:c>
      <x:c r="E7" s="39" t="str">
        <x:v>Confirmar após recebimento e revisão documental</x:v>
      </x:c>
    </x:row>
    <x:row r="8">
      <x:c r="A8" s="39" t="str">
        <x:v>costurado_stitch_bonded</x:v>
      </x:c>
      <x:c r="B8" s="39" t="n">
        <x:v>0</x:v>
      </x:c>
      <x:c r="C8" s="39" t="n">
        <x:v>2</x:v>
      </x:c>
      <x:c r="D8" s="39" t="n">
        <x:v>-2</x:v>
      </x:c>
      <x:c r="E8" s="39" t="str">
        <x:v>Lacuna; leads técnicos fora das 70 candidatas</x:v>
      </x:c>
    </x:row>
    <x:row r="9">
      <x:c r="A9" s="39"/>
      <x:c r="B9" s="39"/>
      <x:c r="C9" s="39"/>
      <x:c r="D9" s="39"/>
      <x:c r="E9" s="39"/>
    </x:row>
    <x:row r="10">
      <x:c r="A10" s="39"/>
      <x:c r="B10" s="39"/>
      <x:c r="C10" s="39"/>
      <x:c r="D10" s="39"/>
      <x:c r="E10" s="39"/>
    </x:row>
    <x:row r="11">
      <x:c r="A11" s="38" t="str">
        <x:v>Fornecedor</x:v>
      </x:c>
      <x:c r="B11" s="38" t="str">
        <x:v>Candidatas</x:v>
      </x:c>
      <x:c r="C11" s="38" t="str">
        <x:v>Aceitas</x:v>
      </x:c>
      <x:c r="D11" s="38" t="str">
        <x:v>% das aceitas</x:v>
      </x:c>
      <x:c r="E11" s="38" t="str">
        <x:v>Gate 35%</x:v>
      </x:c>
    </x:row>
    <x:row r="12">
      <x:c r="A12" s="39" t="str">
        <x:v>Polartec</x:v>
      </x:c>
      <x:c r="B12" s="39" t="n">
        <x:v>20</x:v>
      </x:c>
      <x:c r="C12" s="39" t="n">
        <x:f>COUNTIFS('Registro de Amostras'!$B$2:$B$71,A12,'Registro de Amostras'!$M$2:$M$71,"Aceita")</x:f>
        <x:v>0</x:v>
      </x:c>
      <x:c r="D12" s="40" t="n">
        <x:f>IF(COUNTIF('Registro de Amostras'!$M$2:$M$71,"Aceita")=0,0,C12/COUNTIF('Registro de Amostras'!$M$2:$M$71,"Aceita"))</x:f>
        <x:v>0</x:v>
      </x:c>
      <x:c r="E12" s="39" t="str">
        <x:f>IF(COUNTIF('Registro de Amostras'!$M$2:$M$71,"Aceita")=0,"Sem aceitas",IF(D12&lt;=35%,"Dentro do limite","BLOQUEIO &gt;35%"))</x:f>
        <x:v>Sem aceitas</x:v>
      </x:c>
    </x:row>
    <x:row r="13">
      <x:c r="A13" s="39" t="str">
        <x:v>CORDURA / INVISTA</x:v>
      </x:c>
      <x:c r="B13" s="39" t="n">
        <x:v>15</x:v>
      </x:c>
      <x:c r="C13" s="39" t="n">
        <x:f>COUNTIFS('Registro de Amostras'!$B$2:$B$71,A13,'Registro de Amostras'!$M$2:$M$71,"Aceita")</x:f>
        <x:v>0</x:v>
      </x:c>
      <x:c r="D13" s="40" t="n">
        <x:f>IF(COUNTIF('Registro de Amostras'!$M$2:$M$71,"Aceita")=0,0,C13/COUNTIF('Registro de Amostras'!$M$2:$M$71,"Aceita"))</x:f>
        <x:v>0</x:v>
      </x:c>
      <x:c r="E13" s="39" t="str">
        <x:f>IF(COUNTIF('Registro de Amostras'!$M$2:$M$71,"Aceita")=0,"Sem aceitas",IF(D13&lt;=35%,"Dentro do limite","BLOQUEIO &gt;35%"))</x:f>
        <x:v>Sem aceitas</x:v>
      </x:c>
    </x:row>
    <x:row r="14">
      <x:c r="A14" s="39" t="str">
        <x:v>Freudenberg Performance Materials</x:v>
      </x:c>
      <x:c r="B14" s="39" t="n">
        <x:v>10</x:v>
      </x:c>
      <x:c r="C14" s="39" t="n">
        <x:f>COUNTIFS('Registro de Amostras'!$B$2:$B$71,A14,'Registro de Amostras'!$M$2:$M$71,"Aceita")</x:f>
        <x:v>0</x:v>
      </x:c>
      <x:c r="D14" s="40" t="n">
        <x:f>IF(COUNTIF('Registro de Amostras'!$M$2:$M$71,"Aceita")=0,0,C14/COUNTIF('Registro de Amostras'!$M$2:$M$71,"Aceita"))</x:f>
        <x:v>0</x:v>
      </x:c>
      <x:c r="E14" s="39" t="str">
        <x:f>IF(COUNTIF('Registro de Amostras'!$M$2:$M$71,"Aceita")=0,"Sem aceitas",IF(D14&lt;=35%,"Dentro do limite","BLOQUEIO &gt;35%"))</x:f>
        <x:v>Sem aceitas</x:v>
      </x:c>
    </x:row>
    <x:row r="15">
      <x:c r="A15" s="39" t="str">
        <x:v>Ahlstrom</x:v>
      </x:c>
      <x:c r="B15" s="39" t="n">
        <x:v>10</x:v>
      </x:c>
      <x:c r="C15" s="39" t="n">
        <x:f>COUNTIFS('Registro de Amostras'!$B$2:$B$71,A15,'Registro de Amostras'!$M$2:$M$71,"Aceita")</x:f>
        <x:v>0</x:v>
      </x:c>
      <x:c r="D15" s="40" t="n">
        <x:f>IF(COUNTIF('Registro de Amostras'!$M$2:$M$71,"Aceita")=0,0,C15/COUNTIF('Registro de Amostras'!$M$2:$M$71,"Aceita"))</x:f>
        <x:v>0</x:v>
      </x:c>
      <x:c r="E15" s="39" t="str">
        <x:f>IF(COUNTIF('Registro de Amostras'!$M$2:$M$71,"Aceita")=0,"Sem aceitas",IF(D15&lt;=35%,"Dentro do limite","BLOQUEIO &gt;35%"))</x:f>
        <x:v>Sem aceitas</x:v>
      </x:c>
    </x:row>
    <x:row r="16">
      <x:c r="A16" s="39" t="str">
        <x:v>Carrington Textiles</x:v>
      </x:c>
      <x:c r="B16" s="39" t="n">
        <x:v>5</x:v>
      </x:c>
      <x:c r="C16" s="39" t="n">
        <x:f>COUNTIFS('Registro de Amostras'!$B$2:$B$71,A16,'Registro de Amostras'!$M$2:$M$71,"Aceita")</x:f>
        <x:v>0</x:v>
      </x:c>
      <x:c r="D16" s="40" t="n">
        <x:f>IF(COUNTIF('Registro de Amostras'!$M$2:$M$71,"Aceita")=0,0,C16/COUNTIF('Registro de Amostras'!$M$2:$M$71,"Aceita"))</x:f>
        <x:v>0</x:v>
      </x:c>
      <x:c r="E16" s="39" t="str">
        <x:f>IF(COUNTIF('Registro de Amostras'!$M$2:$M$71,"Aceita")=0,"Sem aceitas",IF(D16&lt;=35%,"Dentro do limite","BLOQUEIO &gt;35%"))</x:f>
        <x:v>Sem aceitas</x:v>
      </x:c>
    </x:row>
    <x:row r="17">
      <x:c r="A17" s="39" t="str">
        <x:v>Cedro Têxtil</x:v>
      </x:c>
      <x:c r="B17" s="39" t="n">
        <x:v>10</x:v>
      </x:c>
      <x:c r="C17" s="39" t="n">
        <x:f>COUNTIFS('Registro de Amostras'!$B$2:$B$71,A17,'Registro de Amostras'!$M$2:$M$71,"Aceita")</x:f>
        <x:v>0</x:v>
      </x:c>
      <x:c r="D17" s="40" t="n">
        <x:f>IF(COUNTIF('Registro de Amostras'!$M$2:$M$71,"Aceita")=0,0,C17/COUNTIF('Registro de Amostras'!$M$2:$M$71,"Aceita"))</x:f>
        <x:v>0</x:v>
      </x:c>
      <x:c r="E17" s="39" t="str">
        <x:f>IF(COUNTIF('Registro de Amostras'!$M$2:$M$71,"Aceita")=0,"Sem aceitas",IF(D17&lt;=35%,"Dentro do limite","BLOQUEIO &gt;35%"))</x:f>
        <x:v>Sem aceitas</x:v>
      </x:c>
    </x:row>
  </x:sheetData>
  <x:conditionalFormatting sqref="D2:D8">
    <x:cfRule type="cellIs" dxfId="5" priority="1" operator="lessThan">
      <x:formula>0</x:formula>
    </x:cfRule>
  </x:conditionalFormatting>
  <x:conditionalFormatting sqref="E12:E17">
    <x:cfRule type="expression" dxfId="6" priority="2">
      <x:formula>E12="BLOQUEIO &gt;35%"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45" hidden="0" customWidth="1"/>
    <x:col min="4" max="4" width="35" hidden="0" customWidth="1"/>
    <x:col min="5" max="5" width="42" hidden="0" customWidth="1"/>
  </x:cols>
  <x:sheetData>
    <x:row r="1">
      <x:c r="A1" s="38" t="str">
        <x:v>Etapa</x:v>
      </x:c>
      <x:c r="B1" s="38" t="str">
        <x:v>Responsável</x:v>
      </x:c>
      <x:c r="C1" s="38" t="str">
        <x:v>Ação</x:v>
      </x:c>
      <x:c r="D1" s="38" t="str">
        <x:v>Saída obrigatória</x:v>
      </x:c>
      <x:c r="E1" s="38" t="str">
        <x:v>Critério de bloqueio</x:v>
      </x:c>
    </x:row>
    <x:row r="2">
      <x:c r="A2" s="39" t="str">
        <x:v>1. Seleção</x:v>
      </x:c>
      <x:c r="B2" s="39" t="str">
        <x:v>Operations</x:v>
      </x:c>
      <x:c r="C2" s="39" t="str">
        <x:v>Selecionar conforme diversidade</x:v>
      </x:c>
      <x:c r="D2" s="39" t="str">
        <x:v>ID OPS-TX</x:v>
      </x:c>
      <x:c r="E2" s="39" t="str">
        <x:v>Duplicidade ou concentração de candidatas sem justificativa</x:v>
      </x:c>
    </x:row>
    <x:row r="3">
      <x:c r="A3" s="39" t="str">
        <x:v>2. Solicitação</x:v>
      </x:c>
      <x:c r="B3" s="39" t="str">
        <x:v>Operations</x:v>
      </x:c>
      <x:c r="C3" s="39" t="str">
        <x:v>Solicitar amostra e documento</x:v>
      </x:c>
      <x:c r="D3" s="39" t="str">
        <x:v>Protocolo de contato</x:v>
      </x:c>
      <x:c r="E3" s="39" t="str">
        <x:v>Contato não autorizado</x:v>
      </x:c>
    </x:row>
    <x:row r="4">
      <x:c r="A4" s="39" t="str">
        <x:v>3. Recebimento</x:v>
      </x:c>
      <x:c r="B4" s="39" t="str">
        <x:v>Operations</x:v>
      </x:c>
      <x:c r="C4" s="39" t="str">
        <x:v>Identificar e armazenar amostra</x:v>
      </x:c>
      <x:c r="D4" s="39" t="str">
        <x:v>TextileSample</x:v>
      </x:c>
      <x:c r="E4" s="39" t="str">
        <x:v>Sem código do artigo</x:v>
      </x:c>
    </x:row>
    <x:row r="5">
      <x:c r="A5" s="39" t="str">
        <x:v>4. Documento</x:v>
      </x:c>
      <x:c r="B5" s="39" t="str">
        <x:v>Operations + Certification</x:v>
      </x:c>
      <x:c r="C5" s="39" t="str">
        <x:v>Preservar original e gerar hash</x:v>
      </x:c>
      <x:c r="D5" s="39" t="str">
        <x:v>Evidence</x:v>
      </x:c>
      <x:c r="E5" s="39" t="str">
        <x:v>Lead comercial tratado como evidência</x:v>
      </x:c>
    </x:row>
    <x:row r="6">
      <x:c r="A6" s="39" t="str">
        <x:v>5. Assertion</x:v>
      </x:c>
      <x:c r="B6" s="39" t="str">
        <x:v>Data Platform</x:v>
      </x:c>
      <x:c r="C6" s="39" t="str">
        <x:v>Criar asserção aplicável</x:v>
      </x:c>
      <x:c r="D6" s="39" t="str">
        <x:v>Assertion versionada</x:v>
      </x:c>
      <x:c r="E6" s="39" t="str">
        <x:v>Sem Evidence aplicável</x:v>
      </x:c>
    </x:row>
    <x:row r="7">
      <x:c r="A7" s="39" t="str">
        <x:v>6. Revisão</x:v>
      </x:c>
      <x:c r="B7" s="39" t="str">
        <x:v>Certification</x:v>
      </x:c>
      <x:c r="C7" s="39" t="str">
        <x:v>Revisar asserção e evidência</x:v>
      </x:c>
      <x:c r="D7" s="39" t="str">
        <x:v>Review</x:v>
      </x:c>
      <x:c r="E7" s="39" t="str">
        <x:v>Autenticidade ou relevância insuficiente</x:v>
      </x:c>
    </x:row>
    <x:row r="8">
      <x:c r="A8" s="39" t="str">
        <x:v>7. Intake</x:v>
      </x:c>
      <x:c r="B8" s="39" t="str">
        <x:v>Founder/Product &amp; Data</x:v>
      </x:c>
      <x:c r="C8" s="39" t="str">
        <x:v>Decidir entrada no conjunto ouro</x:v>
      </x:c>
      <x:c r="D8" s="39" t="str">
        <x:v>DatasetIntakeDecision</x:v>
      </x:c>
      <x:c r="E8" s="39" t="str">
        <x:v>Gate estrutural pendente</x:v>
      </x:c>
    </x:row>
    <x:row r="9">
      <x:c r="A9" s="39" t="str">
        <x:v>8. Concentração</x:v>
      </x:c>
      <x:c r="B9" s="39" t="str">
        <x:v>Operations + Data Platform</x:v>
      </x:c>
      <x:c r="C9" s="39" t="str">
        <x:v>Calcular participação entre aceitas</x:v>
      </x:c>
      <x:c r="D9" s="39" t="str">
        <x:v>Gate ≤35%</x:v>
      </x:c>
      <x:c r="E9" s="39" t="str">
        <x:v>Fornecedor excede 35% das aceitas</x:v>
      </x:c>
    </x:row>
    <x:row r="10">
      <x:c r="A10" s="39" t="str">
        <x:v>9. Publicação</x:v>
      </x:c>
      <x:c r="B10" s="39" t="str">
        <x:v>Certification</x:v>
      </x:c>
      <x:c r="C10" s="39" t="str">
        <x:v>Aplicar política quando necessário</x:v>
      </x:c>
      <x:c r="D10" s="39" t="str">
        <x:v>PublicationDecision</x:v>
      </x:c>
      <x:c r="E10" s="39" t="str">
        <x:v>Intake confundido com publicação</x:v>
      </x:c>
    </x:row>
    <x:row r="11">
      <x:c r="A11" s="39" t="str">
        <x:v>10. Captura</x:v>
      </x:c>
      <x:c r="B11" s="39" t="str">
        <x:v>Operations</x:v>
      </x:c>
      <x:c r="C11" s="39" t="str">
        <x:v>Fotografar após intake</x:v>
      </x:c>
      <x:c r="D11" s="39" t="str">
        <x:v>Imagens padronizadas</x:v>
      </x:c>
      <x:c r="E11" s="39" t="str">
        <x:v>Foco, luz ou escala insuficientes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1" hidden="0" customWidth="1"/>
    <x:col min="3" max="3" width="30" hidden="0" customWidth="1"/>
    <x:col min="4" max="4" width="37" hidden="0" customWidth="1"/>
    <x:col min="5" max="5" width="45" hidden="0" customWidth="1"/>
  </x:cols>
  <x:sheetData>
    <x:row r="1">
      <x:c r="A1" s="38" t="str">
        <x:v>Campo / entidade</x:v>
      </x:c>
      <x:c r="B1" s="38" t="str">
        <x:v>Obrigatório</x:v>
      </x:c>
      <x:c r="C1" s="38" t="str">
        <x:v>Fonte / momento</x:v>
      </x:c>
      <x:c r="D1" s="38" t="str">
        <x:v>Validação</x:v>
      </x:c>
      <x:c r="E1" s="38" t="str">
        <x:v>Observação</x:v>
      </x:c>
    </x:row>
    <x:row r="2">
      <x:c r="A2" s="39" t="str">
        <x:v>sample_id</x:v>
      </x:c>
      <x:c r="B2" s="39" t="str">
        <x:v>Sim</x:v>
      </x:c>
      <x:c r="C2" s="39" t="str">
        <x:v>Operations</x:v>
      </x:c>
      <x:c r="D2" s="39" t="str">
        <x:v>Único</x:v>
      </x:c>
      <x:c r="E2" s="39" t="str">
        <x:v>Não reutilizar</x:v>
      </x:c>
    </x:row>
    <x:row r="3">
      <x:c r="A3" s="39" t="str">
        <x:v>supplier_id</x:v>
      </x:c>
      <x:c r="B3" s="39" t="str">
        <x:v>Sim</x:v>
      </x:c>
      <x:c r="C3" s="39" t="str">
        <x:v>Cadastro</x:v>
      </x:c>
      <x:c r="D3" s="39" t="str">
        <x:v>Fornecedor identificável</x:v>
      </x:c>
      <x:c r="E3" s="39" t="str"/>
    </x:row>
    <x:row r="4">
      <x:c r="A4" s="39" t="str">
        <x:v>supplier_product_code</x:v>
      </x:c>
      <x:c r="B4" s="39" t="str">
        <x:v>Sim para accept</x:v>
      </x:c>
      <x:c r="C4" s="39" t="str">
        <x:v>Etiqueta/ficha</x:v>
      </x:c>
      <x:c r="D4" s="39" t="str">
        <x:v>Coincide com amostra</x:v>
      </x:c>
      <x:c r="E4" s="39" t="str"/>
    </x:row>
    <x:row r="5">
      <x:c r="A5" s="39" t="str">
        <x:v>physical_sample</x:v>
      </x:c>
      <x:c r="B5" s="39" t="str">
        <x:v>Sim para accept</x:v>
      </x:c>
      <x:c r="C5" s="39" t="str">
        <x:v>Recebimento</x:v>
      </x:c>
      <x:c r="D5" s="39" t="str">
        <x:v>received=true</x:v>
      </x:c>
      <x:c r="E5" s="39" t="str"/>
    </x:row>
    <x:row r="6">
      <x:c r="A6" s="39" t="str">
        <x:v>technical_sheet_or_test</x:v>
      </x:c>
      <x:c r="B6" s="39" t="str">
        <x:v>Sim para accept</x:v>
      </x:c>
      <x:c r="C6" s="39" t="str">
        <x:v>Fornecedor/laboratório</x:v>
      </x:c>
      <x:c r="D6" s="39" t="str">
        <x:v>Artefato original</x:v>
      </x:c>
      <x:c r="E6" s="39" t="str"/>
    </x:row>
    <x:row r="7">
      <x:c r="A7" s="39" t="str">
        <x:v>artifact_hash</x:v>
      </x:c>
      <x:c r="B7" s="39" t="str">
        <x:v>Sim para accept</x:v>
      </x:c>
      <x:c r="C7" s="39" t="str">
        <x:v>SHA-256</x:v>
      </x:c>
      <x:c r="D7" s="39" t="str">
        <x:v>64 caracteres hex</x:v>
      </x:c>
      <x:c r="E7" s="39" t="str">
        <x:v>Integridade não prova veracidade</x:v>
      </x:c>
    </x:row>
    <x:row r="8">
      <x:c r="A8" s="39" t="str">
        <x:v>Evidence</x:v>
      </x:c>
      <x:c r="B8" s="39" t="str">
        <x:v>Sim para accept</x:v>
      </x:c>
      <x:c r="C8" s="39" t="str">
        <x:v>Grafo</x:v>
      </x:c>
      <x:c r="D8" s="39" t="str">
        <x:v>Autenticidade e relevância separadas</x:v>
      </x:c>
      <x:c r="E8" s="39" t="str"/>
    </x:row>
    <x:row r="9">
      <x:c r="A9" s="39" t="str">
        <x:v>Assertion</x:v>
      </x:c>
      <x:c r="B9" s="39" t="str">
        <x:v>Sim para accept</x:v>
      </x:c>
      <x:c r="C9" s="39" t="str">
        <x:v>Grafo</x:v>
      </x:c>
      <x:c r="D9" s="39" t="str">
        <x:v>Aponta para revisão taxonômica</x:v>
      </x:c>
      <x:c r="E9" s="39" t="str"/>
    </x:row>
    <x:row r="10">
      <x:c r="A10" s="39" t="str">
        <x:v>Review</x:v>
      </x:c>
      <x:c r="B10" s="39" t="str">
        <x:v>Sim para accept</x:v>
      </x:c>
      <x:c r="C10" s="39" t="str">
        <x:v>Humano</x:v>
      </x:c>
      <x:c r="D10" s="39" t="str">
        <x:v>Accepted ou corrected</x:v>
      </x:c>
      <x:c r="E10" s="39" t="str"/>
    </x:row>
    <x:row r="11">
      <x:c r="A11" s="39" t="str">
        <x:v>DatasetIntakeDecision</x:v>
      </x:c>
      <x:c r="B11" s="39" t="str">
        <x:v>Sim</x:v>
      </x:c>
      <x:c r="C11" s="39" t="str">
        <x:v>Gate final</x:v>
      </x:c>
      <x:c r="D11" s="39" t="str">
        <x:v>accept/reject/request_more_evidence</x:v>
      </x:c>
      <x:c r="E11" s="39" t="str"/>
    </x:row>
    <x:row r="12">
      <x:c r="A12" s="39" t="str">
        <x:v>PublicationDecision</x:v>
      </x:c>
      <x:c r="B12" s="39" t="str">
        <x:v>Quando publicar</x:v>
      </x:c>
      <x:c r="C12" s="39" t="str">
        <x:v>Política</x:v>
      </x:c>
      <x:c r="D12" s="39" t="str">
        <x:v>Separada do intake</x:v>
      </x:c>
      <x:c r="E12" s="39" t="str"/>
    </x:row>
    <x:row r="13">
      <x:c r="A13" s="39" t="str">
        <x:v>supplier concentration</x:v>
      </x:c>
      <x:c r="B13" s="39" t="str">
        <x:v>Sim após primeiras aceitas</x:v>
      </x:c>
      <x:c r="C13" s="39" t="str">
        <x:v>Portfólio</x:v>
      </x:c>
      <x:c r="D13" s="39" t="str">
        <x:v>≤35% por fornecedor</x:v>
      </x:c>
      <x:c r="E13" s="39" t="str">
        <x:v>Somente sobre aceitas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39" hidden="0" customWidth="1"/>
    <x:col min="4" max="4" width="48" hidden="0" customWidth="1"/>
    <x:col min="5" max="5" width="25" hidden="0" customWidth="1"/>
    <x:col min="6" max="6" width="16" hidden="0" customWidth="1"/>
    <x:col min="7" max="7" width="34" hidden="0" customWidth="1"/>
    <x:col min="8" max="8" width="35" hidden="0" customWidth="1"/>
    <x:col min="9" max="9" width="35" hidden="0" customWidth="1"/>
  </x:cols>
  <x:sheetData>
    <x:row r="1">
      <x:c r="A1" s="38" t="str">
        <x:v>Grupo</x:v>
      </x:c>
      <x:c r="B1" s="38" t="str">
        <x:v>Candidatas</x:v>
      </x:c>
      <x:c r="C1" s="38" t="str">
        <x:v>Rota oficial</x:v>
      </x:c>
      <x:c r="D1" s="38" t="str">
        <x:v>Fonte</x:v>
      </x:c>
      <x:c r="E1" s="38" t="str">
        <x:v>Status</x:v>
      </x:c>
      <x:c r="F1" s="38" t="str">
        <x:v>Responsável</x:v>
      </x:c>
      <x:c r="G1" s="38" t="str">
        <x:v>Mensagem</x:v>
      </x:c>
      <x:c r="H1" s="38" t="str">
        <x:v>Próxima ação</x:v>
      </x:c>
      <x:c r="I1" s="38" t="str">
        <x:v>Observação</x:v>
      </x:c>
    </x:row>
    <x:row r="2">
      <x:c r="A2" s="39" t="str">
        <x:v>Cedro Têxtil</x:v>
      </x:c>
      <x:c r="B2" s="39" t="n">
        <x:v>10</x:v>
      </x:c>
      <x:c r="C2" s="39" t="str">
        <x:v>Formulário oficial + representante regional</x:v>
      </x:c>
      <x:c r="D2" s="39" t="str">
        <x:v>https://cedro.com.br/contato/</x:v>
      </x:c>
      <x:c r="E2" s="39" t="str">
        <x:v>Preparado — não enviado</x:v>
      </x:c>
      <x:c r="F2" s="39" t="str">
        <x:v>Operations</x:v>
      </x:c>
      <x:c r="G2" s="39" t="str">
        <x:v>wave-1-cedro.md</x:v>
      </x:c>
      <x:c r="H2" s="39" t="str">
        <x:v>Aguardar autorização para envio</x:v>
      </x:c>
      <x:c r="I2" s="39" t="str">
        <x:v>Prioridade nacional</x:v>
      </x:c>
    </x:row>
    <x:row r="3">
      <x:c r="A3" s="39" t="str">
        <x:v>Polartec / CORDURA</x:v>
      </x:c>
      <x:c r="B3" s="39" t="n">
        <x:v>35</x:v>
      </x:c>
      <x:c r="C3" s="39" t="str">
        <x:v>Formulários oficiais e Fabric Finder</x:v>
      </x:c>
      <x:c r="D3" s="39" t="str">
        <x:v>https://www.polartec.com/ | https://cordura.com/find-your-match</x:v>
      </x:c>
      <x:c r="E3" s="39" t="str">
        <x:v>Preparado — não enviado</x:v>
      </x:c>
      <x:c r="F3" s="39" t="str">
        <x:v>Operations</x:v>
      </x:c>
      <x:c r="G3" s="39" t="str">
        <x:v>wave-1-polartec-cordura.md</x:v>
      </x:c>
      <x:c r="H3" s="39" t="str">
        <x:v>Aguardar autorização para envio</x:v>
      </x:c>
      <x:c r="I3" s="39" t="str">
        <x:v>Maior volume do lote</x:v>
      </x:c>
    </x:row>
    <x:row r="4">
      <x:c r="A4" s="39" t="str">
        <x:v>Ahlstrom / Freudenberg</x:v>
      </x:c>
      <x:c r="B4" s="39" t="n">
        <x:v>20</x:v>
      </x:c>
      <x:c r="C4" s="39" t="str">
        <x:v>Formulários de produto</x:v>
      </x:c>
      <x:c r="D4" s="39" t="str">
        <x:v>https://www.ahlstrom.com/products/ | https://www.freudenberg-pm.com/en</x:v>
      </x:c>
      <x:c r="E4" s="39" t="str">
        <x:v>Preparado — não enviado</x:v>
      </x:c>
      <x:c r="F4" s="39" t="str">
        <x:v>Operations</x:v>
      </x:c>
      <x:c r="G4" s="39" t="str">
        <x:v>wave-1-ahlstrom-freudenberg.md</x:v>
      </x:c>
      <x:c r="H4" s="39" t="str">
        <x:v>Aguardar autorização para envio</x:v>
      </x:c>
      <x:c r="I4" s="39" t="str">
        <x:v>Não tecidos e compostos</x:v>
      </x:c>
    </x:row>
    <x:row r="5">
      <x:c r="A5" s="39" t="str">
        <x:v>Carrington Textiles</x:v>
      </x:c>
      <x:c r="B5" s="39" t="n">
        <x:v>5</x:v>
      </x:c>
      <x:c r="C5" s="39" t="str">
        <x:v>Contato e guia com amostras</x:v>
      </x:c>
      <x:c r="D5" s="39" t="str">
        <x:v>https://www.carrington.co.uk/en/media/downloads/new-guides/</x:v>
      </x:c>
      <x:c r="E5" s="39" t="str">
        <x:v>Preparado — não enviado</x:v>
      </x:c>
      <x:c r="F5" s="39" t="str">
        <x:v>Operations</x:v>
      </x:c>
      <x:c r="G5" s="39" t="str">
        <x:v>wave-1-carrington.md</x:v>
      </x:c>
      <x:c r="H5" s="39" t="str">
        <x:v>Aguardar autorização para envio</x:v>
      </x:c>
      <x:c r="I5" s="39" t="str">
        <x:v>Hangers e TDS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5" hidden="0" customWidth="1"/>
    <x:col min="4" max="4" width="20" hidden="0" customWidth="1"/>
    <x:col min="5" max="5" width="18" hidden="0" customWidth="1"/>
    <x:col min="6" max="6" width="30" hidden="0" customWidth="1"/>
  </x:cols>
  <x:sheetData>
    <x:row r="1">
      <x:c r="A1" s="38" t="str">
        <x:v>Prioridade</x:v>
      </x:c>
      <x:c r="B1" s="38" t="str">
        <x:v>Status físico</x:v>
      </x:c>
      <x:c r="C1" s="38" t="str">
        <x:v>Status documento</x:v>
      </x:c>
      <x:c r="D1" s="38" t="str">
        <x:v>Status intake</x:v>
      </x:c>
      <x:c r="E1" s="38" t="str">
        <x:v>Revisão</x:v>
      </x:c>
      <x:c r="F1" s="38" t="str">
        <x:v>Família</x:v>
      </x:c>
    </x:row>
    <x:row r="2">
      <x:c r="A2" s="39" t="str">
        <x:v>Alta</x:v>
      </x:c>
      <x:c r="B2" s="39" t="str">
        <x:v>A solicitar</x:v>
      </x:c>
      <x:c r="C2" s="39" t="str">
        <x:v>Referência localizada</x:v>
      </x:c>
      <x:c r="D2" s="39" t="str">
        <x:v>Candidata</x:v>
      </x:c>
      <x:c r="E2" s="39" t="str">
        <x:v>Não revisada</x:v>
      </x:c>
      <x:c r="F2" s="39" t="str">
        <x:v>tecido_plano</x:v>
      </x:c>
    </x:row>
    <x:row r="3">
      <x:c r="A3" s="39" t="str">
        <x:v>Média</x:v>
      </x:c>
      <x:c r="B3" s="39" t="str">
        <x:v>Solicitada</x:v>
      </x:c>
      <x:c r="C3" s="39" t="str">
        <x:v>Documento solicitado</x:v>
      </x:c>
      <x:c r="D3" s="39" t="str">
        <x:v>Pré-selecionada</x:v>
      </x:c>
      <x:c r="E3" s="39" t="str">
        <x:v>Em revisão</x:v>
      </x:c>
      <x:c r="F3" s="39" t="str">
        <x:v>malha_trama</x:v>
      </x:c>
    </x:row>
    <x:row r="4">
      <x:c r="A4" s="39" t="str">
        <x:v>Baixa</x:v>
      </x:c>
      <x:c r="B4" s="39" t="str">
        <x:v>Recebida</x:v>
      </x:c>
      <x:c r="C4" s="39" t="str">
        <x:v>Documento recebido</x:v>
      </x:c>
      <x:c r="D4" s="39" t="str">
        <x:v>Aceita</x:v>
      </x:c>
      <x:c r="E4" s="39" t="str">
        <x:v>Aprovada</x:v>
      </x:c>
      <x:c r="F4" s="39" t="str">
        <x:v>malha_urdume</x:v>
      </x:c>
    </x:row>
    <x:row r="5">
      <x:c r="A5" s="39"/>
      <x:c r="B5" s="39" t="str">
        <x:v>Recusada</x:v>
      </x:c>
      <x:c r="C5" s="39" t="str">
        <x:v>Documento validado</x:v>
      </x:c>
      <x:c r="D5" s="39" t="str">
        <x:v>Rejeitada</x:v>
      </x:c>
      <x:c r="E5" s="39" t="str">
        <x:v>Reprovada</x:v>
      </x:c>
      <x:c r="F5" s="39" t="str">
        <x:v>nao_tecido</x:v>
      </x:c>
    </x:row>
    <x:row r="6">
      <x:c r="A6" s="39"/>
      <x:c r="B6" s="39"/>
      <x:c r="C6" s="39" t="str">
        <x:v>Documento insuficiente</x:v>
      </x:c>
      <x:c r="D6" s="39" t="str">
        <x:v>Arquivada</x:v>
      </x:c>
      <x:c r="E6" s="39"/>
      <x:c r="F6" s="39" t="str">
        <x:v>estrutura_composta</x:v>
      </x:c>
    </x:row>
    <x:row r="7">
      <x:c r="A7" s="39"/>
      <x:c r="B7" s="39"/>
      <x:c r="C7" s="39"/>
      <x:c r="D7" s="39"/>
      <x:c r="E7" s="39"/>
      <x:c r="F7" s="39" t="str">
        <x:v>entrelacado_trancado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25" hidden="0" customWidth="1"/>
    <x:col min="4" max="4" width="35" hidden="0" customWidth="1"/>
    <x:col min="5" max="5" width="24" hidden="0" customWidth="1"/>
    <x:col min="6" max="6" width="48" hidden="0" customWidth="1"/>
    <x:col min="7" max="7" width="50" hidden="0" customWidth="1"/>
    <x:col min="8" max="8" width="50" hidden="0" customWidth="1"/>
    <x:col min="9" max="9" width="22" hidden="0" customWidth="1"/>
    <x:col min="10" max="10" width="42" hidden="0" customWidth="1"/>
  </x:cols>
  <x:sheetData>
    <x:row r="1">
      <x:c r="A1" s="52" t="str">
        <x:v>PHYLLOS — Lacunas de cobertura e leads técnicos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</x:row>
    <x:row r="4">
      <x:c r="A4" s="38" t="str">
        <x:v>Lead ID</x:v>
      </x:c>
      <x:c r="B4" s="38" t="str">
        <x:v>Família alvo</x:v>
      </x:c>
      <x:c r="C4" s="38" t="str">
        <x:v>Fornecedor</x:v>
      </x:c>
      <x:c r="D4" s="38" t="str">
        <x:v>Produto</x:v>
      </x:c>
      <x:c r="E4" s="38" t="str">
        <x:v>Status documental</x:v>
      </x:c>
      <x:c r="F4" s="38" t="str">
        <x:v>Fonte oficial</x:v>
      </x:c>
      <x:c r="G4" s="38" t="str">
        <x:v>Family Concept Revision ID</x:v>
      </x:c>
      <x:c r="H4" s="38" t="str">
        <x:v>Construction Concept Revision IDs</x:v>
      </x:c>
      <x:c r="I4" s="38" t="str">
        <x:v>Status</x:v>
      </x:c>
      <x:c r="J4" s="38" t="str">
        <x:v>Próxima ação</x:v>
      </x:c>
    </x:row>
    <x:row r="5">
      <x:c r="A5" s="39" t="str">
        <x:v>GAP-WK-001</x:v>
      </x:c>
      <x:c r="B5" s="39" t="str">
        <x:v>malha_urdume</x:v>
      </x:c>
      <x:c r="C5" s="39" t="str">
        <x:v>Baltex</x:v>
      </x:c>
      <x:c r="D5" s="39" t="str">
        <x:v>Solid Polyester Ref. 6282</x:v>
      </x:c>
      <x:c r="E5" s="39" t="str">
        <x:v>technical_data_public</x:v>
      </x:c>
      <x:c r="F5" s="39" t="str">
        <x:v>https://baltex.co.uk/product/solid-polyester-ref-6282/</x:v>
      </x:c>
      <x:c r="G5" s="39" t="str">
        <x:v>concept-revision:structure.family.warp_knit:v0.3</x:v>
      </x:c>
      <x:c r="H5" s="39" t="str">
        <x:v>concept-revision:construction.primary.tricot:v0.3</x:v>
      </x:c>
      <x:c r="I5" s="39" t="str">
        <x:v>lead_not_candidate</x:v>
      </x:c>
      <x:c r="J5" s="39" t="str">
        <x:v>Solicitar amostra e documento correspondente</x:v>
      </x:c>
    </x:row>
    <x:row r="6">
      <x:c r="A6" s="39" t="str">
        <x:v>GAP-WK-002</x:v>
      </x:c>
      <x:c r="B6" s="39" t="str">
        <x:v>malha_urdume</x:v>
      </x:c>
      <x:c r="C6" s="39" t="str">
        <x:v>Baltex</x:v>
      </x:c>
      <x:c r="D6" s="39" t="str">
        <x:v>Light Weight Polyester Ref. 7640</x:v>
      </x:c>
      <x:c r="E6" s="39" t="str">
        <x:v>technical_data_public</x:v>
      </x:c>
      <x:c r="F6" s="39" t="str">
        <x:v>https://baltex.co.uk/product/light-weight-polyester-ref-7640/</x:v>
      </x:c>
      <x:c r="G6" s="39" t="str">
        <x:v>concept-revision:structure.family.warp_knit:v0.3</x:v>
      </x:c>
      <x:c r="H6" s="39" t="str">
        <x:v>concept-revision:construction.primary.tricot:v0.3</x:v>
      </x:c>
      <x:c r="I6" s="39" t="str">
        <x:v>lead_not_candidate</x:v>
      </x:c>
      <x:c r="J6" s="39" t="str">
        <x:v>Solicitar amostra e documento correspondente</x:v>
      </x:c>
    </x:row>
    <x:row r="7">
      <x:c r="A7" s="39" t="str">
        <x:v>GAP-WK-003</x:v>
      </x:c>
      <x:c r="B7" s="39" t="str">
        <x:v>malha_urdume</x:v>
      </x:c>
      <x:c r="C7" s="39" t="str">
        <x:v>Heathcoat Fabrics</x:v>
      </x:c>
      <x:c r="D7" s="39" t="str">
        <x:v>High-Absorbency Viscose Fabric for Woundcare</x:v>
      </x:c>
      <x:c r="E7" s="39" t="str">
        <x:v>official_product_page</x:v>
      </x:c>
      <x:c r="F7" s="39" t="str">
        <x:v>https://www.heathcoat.co.uk/viscose-fabric-for-woundcare/</x:v>
      </x:c>
      <x:c r="G7" s="39" t="str">
        <x:v>concept-revision:structure.family.warp_knit:v0.3</x:v>
      </x:c>
      <x:c r="H7" s="39" t="str"/>
      <x:c r="I7" s="39" t="str">
        <x:v>lead_not_candidate</x:v>
      </x:c>
      <x:c r="J7" s="39" t="str">
        <x:v>Solicitar amostra e documento correspondente</x:v>
      </x:c>
    </x:row>
    <x:row r="8">
      <x:c r="A8" s="39" t="str">
        <x:v>GAP-SB-001</x:v>
      </x:c>
      <x:c r="B8" s="39" t="str">
        <x:v>costurado_stitch_bonded</x:v>
      </x:c>
      <x:c r="C8" s="39" t="str">
        <x:v>United Asphalt</x:v>
      </x:c>
      <x:c r="D8" s="39" t="str">
        <x:v>United Polyester Fabric</x:v>
      </x:c>
      <x:c r="E8" s="39" t="str">
        <x:v>technical_data_public</x:v>
      </x:c>
      <x:c r="F8" s="39" t="str">
        <x:v>https://unitedasphalt.com/united-polyester-fabric/</x:v>
      </x:c>
      <x:c r="G8" s="39" t="str">
        <x:v>concept-revision:structure.family.stitch_bonded:v0.3</x:v>
      </x:c>
      <x:c r="H8" s="39" t="str"/>
      <x:c r="I8" s="39" t="str">
        <x:v>lead_not_candidate</x:v>
      </x:c>
      <x:c r="J8" s="39" t="str">
        <x:v>Solicitar amostra e documento correspondente</x:v>
      </x:c>
    </x:row>
    <x:row r="9">
      <x:c r="A9" s="39" t="str">
        <x:v>GAP-SB-002</x:v>
      </x:c>
      <x:c r="B9" s="39" t="str">
        <x:v>costurado_stitch_bonded</x:v>
      </x:c>
      <x:c r="C9" s="39" t="str">
        <x:v>WINIW / PANONWOVEN</x:v>
      </x:c>
      <x:c r="D9" s="39" t="str">
        <x:v>Polyester Stitchbond Nonwoven Fabric</x:v>
      </x:c>
      <x:c r="E9" s="39" t="str">
        <x:v>supplier_specification_page</x:v>
      </x:c>
      <x:c r="F9" s="39" t="str">
        <x:v>https://www.panonwoven.com/products/polyester-stitchbond-nonwoven-fabric/</x:v>
      </x:c>
      <x:c r="G9" s="39" t="str">
        <x:v>concept-revision:structure.family.stitch_bonded:v0.3</x:v>
      </x:c>
      <x:c r="H9" s="39" t="str"/>
      <x:c r="I9" s="39" t="str">
        <x:v>lead_not_candidate</x:v>
      </x:c>
      <x:c r="J9" s="39" t="str">
        <x:v>Solicitar amostra e documento correspondente</x:v>
      </x:c>
    </x:row>
  </x:sheetData>
  <x:mergeCells>
    <x:mergeCell ref="A1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42" hidden="0" customWidth="1"/>
    <x:col min="5" max="5" width="24" hidden="0" customWidth="1"/>
    <x:col min="6" max="6" width="34" hidden="0" customWidth="1"/>
    <x:col min="7" max="7" width="12" hidden="0" customWidth="1"/>
    <x:col min="8" max="8" width="42" hidden="0" customWidth="1"/>
  </x:cols>
  <x:sheetData>
    <x:row r="1">
      <x:c r="A1" s="52" t="str">
        <x:v>PHYLLOS — Primeira onda de solicitações</x:v>
      </x:c>
      <x:c r="B1" s="52"/>
      <x:c r="C1" s="52"/>
      <x:c r="D1" s="52"/>
      <x:c r="E1" s="52"/>
      <x:c r="F1" s="52"/>
      <x:c r="G1" s="52"/>
      <x:c r="H1" s="52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8" t="str">
        <x:v>Onda</x:v>
      </x:c>
      <x:c r="B4" s="38" t="str">
        <x:v>Grupo</x:v>
      </x:c>
      <x:c r="C4" s="38" t="str">
        <x:v>Candidatas</x:v>
      </x:c>
      <x:c r="D4" s="38" t="str">
        <x:v>Rota</x:v>
      </x:c>
      <x:c r="E4" s="38" t="str">
        <x:v>Status</x:v>
      </x:c>
      <x:c r="F4" s="38" t="str">
        <x:v>Arquivo da mensagem</x:v>
      </x:c>
      <x:c r="G4" s="38" t="str">
        <x:v>Prioridade</x:v>
      </x:c>
      <x:c r="H4" s="38" t="str">
        <x:v>Gate</x:v>
      </x:c>
    </x:row>
    <x:row r="5">
      <x:c r="A5" s="39" t="str">
        <x:v>wave-1-cedro</x:v>
      </x:c>
      <x:c r="B5" s="39" t="str">
        <x:v>Cedro Têxtil</x:v>
      </x:c>
      <x:c r="C5" s="39" t="n">
        <x:v>10</x:v>
      </x:c>
      <x:c r="D5" s="39" t="str">
        <x:v>official_contact_form_and_regional_representative</x:v>
      </x:c>
      <x:c r="E5" s="39" t="str">
        <x:v>prepared_not_sent</x:v>
      </x:c>
      <x:c r="F5" s="39" t="str">
        <x:v>wave-1-cedro.md</x:v>
      </x:c>
      <x:c r="G5" s="39" t="n">
        <x:v>1</x:v>
      </x:c>
      <x:c r="H5" s="39" t="str">
        <x:v>Não enviar sem autorização explícita</x:v>
      </x:c>
    </x:row>
    <x:row r="6">
      <x:c r="A6" s="39" t="str">
        <x:v>wave-1-polartec-cordura</x:v>
      </x:c>
      <x:c r="B6" s="39" t="str">
        <x:v>Polartec / CORDURA</x:v>
      </x:c>
      <x:c r="C6" s="39" t="n">
        <x:v>35</x:v>
      </x:c>
      <x:c r="D6" s="39" t="str">
        <x:v>official_contact_forms_partner_portals_and_fabric_finder</x:v>
      </x:c>
      <x:c r="E6" s="39" t="str">
        <x:v>prepared_not_sent</x:v>
      </x:c>
      <x:c r="F6" s="39" t="str">
        <x:v>wave-1-polartec-cordura.md</x:v>
      </x:c>
      <x:c r="G6" s="39" t="n">
        <x:v>2</x:v>
      </x:c>
      <x:c r="H6" s="39" t="str">
        <x:v>Não enviar sem autorização explícita</x:v>
      </x:c>
    </x:row>
    <x:row r="7">
      <x:c r="A7" s="39" t="str">
        <x:v>wave-1-ahlstrom-freudenberg</x:v>
      </x:c>
      <x:c r="B7" s="39" t="str">
        <x:v>Ahlstrom / Freudenberg Performance Materials</x:v>
      </x:c>
      <x:c r="C7" s="39" t="n">
        <x:v>20</x:v>
      </x:c>
      <x:c r="D7" s="39" t="str">
        <x:v>official_product_contact_forms</x:v>
      </x:c>
      <x:c r="E7" s="39" t="str">
        <x:v>prepared_not_sent</x:v>
      </x:c>
      <x:c r="F7" s="39" t="str">
        <x:v>wave-1-ahlstrom-freudenberg.md</x:v>
      </x:c>
      <x:c r="G7" s="39" t="n">
        <x:v>3</x:v>
      </x:c>
      <x:c r="H7" s="39" t="str">
        <x:v>Não enviar sem autorização explícita</x:v>
      </x:c>
    </x:row>
    <x:row r="8">
      <x:c r="A8" s="39" t="str">
        <x:v>wave-1-carrington</x:v>
      </x:c>
      <x:c r="B8" s="39" t="str">
        <x:v>Carrington Textiles</x:v>
      </x:c>
      <x:c r="C8" s="39" t="n">
        <x:v>5</x:v>
      </x:c>
      <x:c r="D8" s="39" t="str">
        <x:v>official_contact_and_sample_guide_form</x:v>
      </x:c>
      <x:c r="E8" s="39" t="str">
        <x:v>prepared_not_sent</x:v>
      </x:c>
      <x:c r="F8" s="39" t="str">
        <x:v>wave-1-carrington.md</x:v>
      </x:c>
      <x:c r="G8" s="39" t="n">
        <x:v>4</x:v>
      </x:c>
      <x:c r="H8" s="39" t="str">
        <x:v>Não enviar sem autorização explícita</x:v>
      </x:c>
    </x:row>
  </x:sheetData>
  <x:mergeCells>
    <x:mergeCell ref="A1:H2"/>
  </x:mergeCells>
  <x:pageMargins left="0.7" right="0.7" top="0.75" bottom="0.75" header="0.3" footer="0.3"/>
</x:worksheet>
</file>